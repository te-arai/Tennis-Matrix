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w_\Downloads\"/>
    </mc:Choice>
  </mc:AlternateContent>
  <xr:revisionPtr revIDLastSave="0" documentId="13_ncr:1_{DB3D0E2B-21EC-4376-8967-58B08C78C1EA}" xr6:coauthVersionLast="47" xr6:coauthVersionMax="47" xr10:uidLastSave="{00000000-0000-0000-0000-000000000000}"/>
  <bookViews>
    <workbookView xWindow="-103" yWindow="-103" windowWidth="23657" windowHeight="15480" activeTab="13" xr2:uid="{00000000-000D-0000-FFFF-FFFF00000000}"/>
  </bookViews>
  <sheets>
    <sheet name="Player Summary" sheetId="28" r:id="rId1"/>
    <sheet name="Technical Skills" sheetId="16" r:id="rId2"/>
    <sheet name="Serve &amp; Return" sheetId="20" r:id="rId3"/>
    <sheet name="Footwork &amp; Movement" sheetId="19" r:id="rId4"/>
    <sheet name="Tactical Awareness" sheetId="17" r:id="rId5"/>
    <sheet name="Creativity &amp; Variety" sheetId="27" r:id="rId6"/>
    <sheet name="Match Strategy" sheetId="22" r:id="rId7"/>
    <sheet name="Competitive Experience" sheetId="23" r:id="rId8"/>
    <sheet name="Physical Fitness" sheetId="18" r:id="rId9"/>
    <sheet name="Mental Toughness" sheetId="21" r:id="rId10"/>
    <sheet name="Recovery &amp; Injury Prevention" sheetId="24" r:id="rId11"/>
    <sheet name="Communication &amp; Self-Reflection" sheetId="25" r:id="rId12"/>
    <sheet name="Lifestyle &amp; Discipline" sheetId="26" r:id="rId13"/>
    <sheet name="Data" sheetId="13" r:id="rId14"/>
    <sheet name="MASTER SHEET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28" l="1"/>
  <c r="H46" i="28"/>
  <c r="G47" i="28"/>
  <c r="H47" i="28"/>
  <c r="G48" i="28"/>
  <c r="H48" i="28"/>
  <c r="G49" i="28"/>
  <c r="H49" i="28"/>
  <c r="G50" i="28"/>
  <c r="H50" i="28"/>
  <c r="C46" i="28"/>
  <c r="D46" i="28"/>
  <c r="C47" i="28"/>
  <c r="D47" i="28"/>
  <c r="C48" i="28"/>
  <c r="D48" i="28"/>
  <c r="C49" i="28"/>
  <c r="D49" i="28"/>
  <c r="C50" i="28"/>
  <c r="D50" i="28"/>
  <c r="F50" i="28"/>
  <c r="F49" i="28"/>
  <c r="F48" i="28"/>
  <c r="F47" i="28"/>
  <c r="B50" i="28"/>
  <c r="B49" i="28"/>
  <c r="B48" i="28"/>
  <c r="B47" i="28"/>
  <c r="F46" i="28"/>
  <c r="B46" i="28"/>
  <c r="G39" i="28"/>
  <c r="H39" i="28"/>
  <c r="G40" i="28"/>
  <c r="H40" i="28"/>
  <c r="G41" i="28"/>
  <c r="H41" i="28"/>
  <c r="G42" i="28"/>
  <c r="H42" i="28"/>
  <c r="G43" i="28"/>
  <c r="H43" i="28"/>
  <c r="C39" i="28"/>
  <c r="D39" i="28"/>
  <c r="C40" i="28"/>
  <c r="D40" i="28"/>
  <c r="C41" i="28"/>
  <c r="D41" i="28"/>
  <c r="C42" i="28"/>
  <c r="D42" i="28"/>
  <c r="C43" i="28"/>
  <c r="D43" i="28"/>
  <c r="F43" i="28"/>
  <c r="F42" i="28"/>
  <c r="F41" i="28"/>
  <c r="F40" i="28"/>
  <c r="B43" i="28"/>
  <c r="B42" i="28"/>
  <c r="B41" i="28"/>
  <c r="B40" i="28"/>
  <c r="F39" i="28"/>
  <c r="B39" i="28"/>
  <c r="G32" i="28"/>
  <c r="H32" i="28"/>
  <c r="G33" i="28"/>
  <c r="H33" i="28"/>
  <c r="G34" i="28"/>
  <c r="H34" i="28"/>
  <c r="G35" i="28"/>
  <c r="H35" i="28"/>
  <c r="G36" i="28"/>
  <c r="H36" i="28"/>
  <c r="F36" i="28"/>
  <c r="F35" i="28"/>
  <c r="F34" i="28"/>
  <c r="F33" i="28"/>
  <c r="F32" i="28"/>
  <c r="C32" i="28"/>
  <c r="D32" i="28"/>
  <c r="C33" i="28"/>
  <c r="D33" i="28"/>
  <c r="C34" i="28"/>
  <c r="D34" i="28"/>
  <c r="C35" i="28"/>
  <c r="D35" i="28"/>
  <c r="C36" i="28"/>
  <c r="D36" i="28"/>
  <c r="B36" i="28"/>
  <c r="B35" i="28"/>
  <c r="B34" i="28"/>
  <c r="B33" i="28"/>
  <c r="B32" i="28"/>
  <c r="G25" i="28"/>
  <c r="H25" i="28"/>
  <c r="G26" i="28"/>
  <c r="H26" i="28"/>
  <c r="G27" i="28"/>
  <c r="H27" i="28"/>
  <c r="G28" i="28"/>
  <c r="H28" i="28"/>
  <c r="G29" i="28"/>
  <c r="H29" i="28"/>
  <c r="F29" i="28"/>
  <c r="F28" i="28"/>
  <c r="F27" i="28"/>
  <c r="F26" i="28"/>
  <c r="F25" i="28"/>
  <c r="C25" i="28"/>
  <c r="D25" i="28"/>
  <c r="C26" i="28"/>
  <c r="D26" i="28"/>
  <c r="C27" i="28"/>
  <c r="D27" i="28"/>
  <c r="C28" i="28"/>
  <c r="D28" i="28"/>
  <c r="C29" i="28"/>
  <c r="D29" i="28"/>
  <c r="B29" i="28"/>
  <c r="B28" i="28"/>
  <c r="B27" i="28"/>
  <c r="B26" i="28"/>
  <c r="B25" i="28"/>
  <c r="G18" i="28"/>
  <c r="H18" i="28"/>
  <c r="G19" i="28"/>
  <c r="H19" i="28"/>
  <c r="G20" i="28"/>
  <c r="H20" i="28"/>
  <c r="G21" i="28"/>
  <c r="H21" i="28"/>
  <c r="G22" i="28"/>
  <c r="H22" i="28"/>
  <c r="C18" i="28"/>
  <c r="D18" i="28"/>
  <c r="C19" i="28"/>
  <c r="D19" i="28"/>
  <c r="C20" i="28"/>
  <c r="D20" i="28"/>
  <c r="C21" i="28"/>
  <c r="D21" i="28"/>
  <c r="C22" i="28"/>
  <c r="D22" i="28"/>
  <c r="F22" i="28"/>
  <c r="F21" i="28"/>
  <c r="F20" i="28"/>
  <c r="F19" i="28"/>
  <c r="B22" i="28"/>
  <c r="B21" i="28"/>
  <c r="B20" i="28"/>
  <c r="B19" i="28"/>
  <c r="F18" i="28"/>
  <c r="B18" i="28"/>
  <c r="G9" i="28"/>
  <c r="H9" i="28"/>
  <c r="G10" i="28"/>
  <c r="H10" i="28"/>
  <c r="G11" i="28"/>
  <c r="H11" i="28"/>
  <c r="G12" i="28"/>
  <c r="H12" i="28"/>
  <c r="G13" i="28"/>
  <c r="H13" i="28"/>
  <c r="F13" i="28"/>
  <c r="F12" i="28"/>
  <c r="F11" i="28"/>
  <c r="F10" i="28"/>
  <c r="F9" i="28"/>
  <c r="C11" i="28"/>
  <c r="D11" i="28"/>
  <c r="C12" i="28"/>
  <c r="D12" i="28"/>
  <c r="C13" i="28"/>
  <c r="D13" i="28"/>
  <c r="C14" i="28"/>
  <c r="D14" i="28"/>
  <c r="C15" i="28"/>
  <c r="D15" i="28"/>
  <c r="C10" i="28"/>
  <c r="D10" i="28"/>
  <c r="B15" i="28"/>
  <c r="B14" i="28"/>
  <c r="B13" i="28"/>
  <c r="B12" i="28"/>
  <c r="B11" i="28"/>
  <c r="B10" i="28"/>
  <c r="D9" i="28"/>
  <c r="C9" i="28"/>
  <c r="B9" i="28"/>
  <c r="A23" i="18"/>
  <c r="A18" i="18"/>
  <c r="A13" i="18"/>
  <c r="A8" i="18"/>
  <c r="A3" i="18"/>
  <c r="A23" i="17"/>
  <c r="A18" i="17"/>
  <c r="A13" i="17"/>
  <c r="A8" i="17"/>
  <c r="A3" i="17"/>
  <c r="A23" i="19"/>
  <c r="A18" i="19"/>
  <c r="A13" i="19"/>
  <c r="A8" i="19"/>
  <c r="A3" i="19"/>
  <c r="A8" i="20"/>
  <c r="A3" i="20"/>
  <c r="A33" i="16"/>
  <c r="A28" i="16"/>
  <c r="A23" i="16"/>
  <c r="A18" i="16"/>
  <c r="A13" i="16"/>
  <c r="A8" i="16"/>
  <c r="A3" i="16"/>
  <c r="D16" i="26"/>
  <c r="D26" i="27"/>
  <c r="A26" i="27"/>
  <c r="D21" i="27"/>
  <c r="A21" i="27"/>
  <c r="D16" i="27"/>
  <c r="A16" i="27"/>
  <c r="A16" i="26"/>
  <c r="D11" i="27"/>
  <c r="A11" i="27"/>
  <c r="D6" i="27"/>
  <c r="A6" i="27"/>
  <c r="A23" i="27"/>
  <c r="A18" i="27"/>
  <c r="A13" i="27"/>
  <c r="A8" i="27"/>
  <c r="A3" i="27"/>
  <c r="D6" i="26"/>
  <c r="A6" i="26"/>
  <c r="D11" i="26"/>
  <c r="A11" i="26"/>
  <c r="D21" i="26"/>
  <c r="A21" i="26"/>
  <c r="D26" i="26"/>
  <c r="A26" i="26"/>
  <c r="A23" i="26"/>
  <c r="A18" i="26"/>
  <c r="A13" i="26"/>
  <c r="A8" i="26"/>
  <c r="A3" i="26"/>
  <c r="D26" i="25"/>
  <c r="A26" i="25"/>
  <c r="D21" i="25"/>
  <c r="A21" i="25"/>
  <c r="D16" i="25"/>
  <c r="A16" i="25"/>
  <c r="D11" i="25"/>
  <c r="A11" i="25"/>
  <c r="D6" i="25"/>
  <c r="A6" i="25"/>
  <c r="A23" i="25"/>
  <c r="A18" i="25"/>
  <c r="A13" i="25"/>
  <c r="A8" i="25"/>
  <c r="A3" i="25"/>
  <c r="A26" i="24"/>
  <c r="D26" i="24"/>
  <c r="D21" i="24"/>
  <c r="A21" i="24"/>
  <c r="D16" i="24"/>
  <c r="A16" i="24"/>
  <c r="D11" i="24"/>
  <c r="A11" i="24"/>
  <c r="D6" i="24"/>
  <c r="A6" i="24"/>
  <c r="A23" i="24"/>
  <c r="A18" i="24"/>
  <c r="A13" i="24"/>
  <c r="A8" i="24"/>
  <c r="A3" i="24"/>
  <c r="D26" i="23"/>
  <c r="A26" i="23"/>
  <c r="D21" i="23"/>
  <c r="A21" i="23"/>
  <c r="D16" i="23"/>
  <c r="A16" i="23"/>
  <c r="D11" i="23"/>
  <c r="A11" i="23"/>
  <c r="D6" i="23"/>
  <c r="A6" i="22"/>
  <c r="A6" i="23"/>
  <c r="A23" i="23"/>
  <c r="A18" i="23"/>
  <c r="A13" i="23"/>
  <c r="A8" i="23"/>
  <c r="A3" i="23"/>
  <c r="D26" i="22"/>
  <c r="A26" i="22"/>
  <c r="D21" i="22"/>
  <c r="A21" i="22"/>
  <c r="D16" i="22"/>
  <c r="A16" i="22"/>
  <c r="D11" i="22"/>
  <c r="A11" i="22"/>
  <c r="D6" i="22"/>
  <c r="A23" i="22"/>
  <c r="A18" i="22"/>
  <c r="A13" i="22"/>
  <c r="A8" i="22"/>
  <c r="A3" i="22"/>
  <c r="D26" i="21"/>
  <c r="A26" i="21"/>
  <c r="D21" i="21"/>
  <c r="A21" i="21"/>
  <c r="D16" i="21"/>
  <c r="A16" i="21"/>
  <c r="D11" i="21"/>
  <c r="A11" i="21"/>
  <c r="D6" i="20"/>
  <c r="D6" i="21"/>
  <c r="A6" i="21"/>
  <c r="A23" i="21"/>
  <c r="A18" i="21"/>
  <c r="A13" i="21"/>
  <c r="A8" i="21"/>
  <c r="A3" i="21"/>
  <c r="D26" i="20"/>
  <c r="A26" i="20"/>
  <c r="D21" i="20"/>
  <c r="A21" i="20"/>
  <c r="D16" i="20"/>
  <c r="A16" i="20"/>
  <c r="D11" i="20"/>
  <c r="A11" i="20"/>
  <c r="A6" i="20"/>
  <c r="A23" i="20"/>
  <c r="A18" i="20"/>
  <c r="A13" i="20"/>
  <c r="D26" i="19"/>
  <c r="A26" i="19"/>
  <c r="D21" i="19"/>
  <c r="A21" i="19"/>
  <c r="D16" i="19"/>
  <c r="A16" i="19"/>
  <c r="D11" i="19"/>
  <c r="A11" i="19"/>
  <c r="D6" i="19"/>
  <c r="A6" i="19"/>
  <c r="D26" i="18"/>
  <c r="A26" i="18"/>
  <c r="D21" i="18"/>
  <c r="A21" i="18"/>
  <c r="D16" i="18"/>
  <c r="A16" i="18"/>
  <c r="A11" i="18"/>
  <c r="D6" i="18"/>
  <c r="A6" i="18"/>
  <c r="D11" i="18"/>
  <c r="D26" i="17"/>
  <c r="A26" i="17"/>
  <c r="D21" i="17"/>
  <c r="A21" i="17"/>
  <c r="D16" i="17"/>
  <c r="A16" i="17"/>
  <c r="D11" i="17"/>
  <c r="A11" i="17"/>
  <c r="D6" i="17"/>
  <c r="A6" i="17"/>
  <c r="D36" i="16"/>
  <c r="A36" i="16"/>
  <c r="D31" i="16"/>
  <c r="A31" i="16"/>
  <c r="D26" i="16"/>
  <c r="A26" i="16"/>
  <c r="D21" i="16"/>
  <c r="A21" i="16"/>
  <c r="D16" i="16"/>
  <c r="A16" i="16"/>
  <c r="D11" i="16"/>
  <c r="A11" i="16"/>
  <c r="D6" i="16"/>
  <c r="A6" i="16"/>
  <c r="D35" i="15"/>
  <c r="A35" i="15"/>
  <c r="D30" i="15"/>
  <c r="A30" i="15"/>
  <c r="D25" i="15"/>
  <c r="A25" i="15"/>
  <c r="D20" i="15"/>
  <c r="A20" i="15"/>
  <c r="D15" i="15"/>
  <c r="A15" i="15"/>
  <c r="D10" i="15"/>
  <c r="A10" i="15"/>
  <c r="D5" i="15"/>
  <c r="A5" i="15"/>
</calcChain>
</file>

<file path=xl/sharedStrings.xml><?xml version="1.0" encoding="utf-8"?>
<sst xmlns="http://schemas.openxmlformats.org/spreadsheetml/2006/main" count="1121" uniqueCount="299">
  <si>
    <t>Rating (1-5)</t>
  </si>
  <si>
    <t>Strengths</t>
  </si>
  <si>
    <t>Weaknesses</t>
  </si>
  <si>
    <t>Notes</t>
  </si>
  <si>
    <t>Beginner Expectation</t>
  </si>
  <si>
    <t>Intermediate Expectation</t>
  </si>
  <si>
    <t>Advanced Expectation</t>
  </si>
  <si>
    <t>Forehand</t>
  </si>
  <si>
    <t>Backhand</t>
  </si>
  <si>
    <t>Serve</t>
  </si>
  <si>
    <t>Volley</t>
  </si>
  <si>
    <t>Overhead Smash</t>
  </si>
  <si>
    <t>Return of Serve</t>
  </si>
  <si>
    <t>Specialty Shots</t>
  </si>
  <si>
    <t>Basic grip and swing; inconsistent contact; struggles with depth and spin.</t>
  </si>
  <si>
    <t>Limited control; often defensive; inconsistent two-handed or slice.</t>
  </si>
  <si>
    <t>Basic motion; inconsistent toss; limited power; double faults common.</t>
  </si>
  <si>
    <t>Awkward positioning; inconsistent contact; struggles with timing.</t>
  </si>
  <si>
    <t>Difficulty judging lobs; inconsistent execution.</t>
  </si>
  <si>
    <t>Defensive block; struggles with timing; inconsistent depth.</t>
  </si>
  <si>
    <t>Rarely attempted; inconsistent execution.</t>
  </si>
  <si>
    <t>Reliable topspin; can vary direction; moderate pace; occasional use of slice.</t>
  </si>
  <si>
    <t>Solid two-handed drive; reliable slice; can rally consistently cross-court.</t>
  </si>
  <si>
    <t>Reliable first serve; developing second serve spin; can place to corners.</t>
  </si>
  <si>
    <t>Competent forehand/backhand volleys; can finish points at net; decent touch.</t>
  </si>
  <si>
    <t>Reliable overheads; can finish points when set up well.</t>
  </si>
  <si>
    <t>Solid returns against medium pace; can neutralize first serves; aggressive on second serves.</t>
  </si>
  <si>
    <t>Uses drop shots and lobs occasionally; moderate success.</t>
  </si>
  <si>
    <t>Generates pace and spin at will; precise placement; uses inside-out/inside-in variations strategically.</t>
  </si>
  <si>
    <t>Offensive weapon; mixes drive and slice seamlessly; controls angles and depth.</t>
  </si>
  <si>
    <t>Variety of serves (flat, slice, kick); tactical placement; uses serve to set up points.</t>
  </si>
  <si>
    <t>Confident at net; controls pace and placement; executes drop volleys and angled winners.</t>
  </si>
  <si>
    <t>Aggressive, accurate overheads; can handle defensive situations and chase tough lobs.</t>
  </si>
  <si>
    <t>Turns returns into offensive shots; anticipates serve patterns; controls direction and spin.</t>
  </si>
  <si>
    <t>Confident variety; uses specialty shots tactically to disrupt opponents.</t>
  </si>
  <si>
    <t>Shot Selection</t>
  </si>
  <si>
    <t>Point Construction</t>
  </si>
  <si>
    <t>Adapting to Opponent</t>
  </si>
  <si>
    <t>Playing to Surfaces</t>
  </si>
  <si>
    <t>Doubles Tactics</t>
  </si>
  <si>
    <t>Limited awareness; reactive choices; frequent errors.</t>
  </si>
  <si>
    <t>Plays one-shot tennis; lacks planning.</t>
  </si>
  <si>
    <t>Plays same style regardless of opponent.</t>
  </si>
  <si>
    <t>No adjustment to surface differences.</t>
  </si>
  <si>
    <t>Limited understanding of positioning and roles.</t>
  </si>
  <si>
    <t>Understands basic patterns; improving decision-making.</t>
  </si>
  <si>
    <t>Attempts to build points; uses strengths occasionally.</t>
  </si>
  <si>
    <t>Recognizes opponent tendencies; adjusts occasionally.</t>
  </si>
  <si>
    <t>Basic understanding of surface impact on play.</t>
  </si>
  <si>
    <t>Understands basic formations and communication.</t>
  </si>
  <si>
    <t>Consistently chooses high-percentage shots; adapts to situations.</t>
  </si>
  <si>
    <t>Constructs points with purpose; exploits opponent weaknesses.</t>
  </si>
  <si>
    <t>Consistently adapts tactics based on opponent’s strengths/weaknesses.</t>
  </si>
  <si>
    <t>Adapts game style and tactics to suit surface.</t>
  </si>
  <si>
    <t>Executes advanced formations; anticipates partner and opponent moves.</t>
  </si>
  <si>
    <t>Strength</t>
  </si>
  <si>
    <t>Endurance</t>
  </si>
  <si>
    <t>Speed</t>
  </si>
  <si>
    <t>Agility</t>
  </si>
  <si>
    <t>Flexibility &amp; Mobility</t>
  </si>
  <si>
    <t>Limited strength; struggles with power generation.</t>
  </si>
  <si>
    <t>Fatigues quickly; inconsistent performance.</t>
  </si>
  <si>
    <t>Slow reactions; difficulty reaching wide balls.</t>
  </si>
  <si>
    <t>Struggles with direction changes.</t>
  </si>
  <si>
    <t>Limited range of motion; injury risk.</t>
  </si>
  <si>
    <t>Developing core and leg strength; improved shot stability.</t>
  </si>
  <si>
    <t>Can sustain moderate match play; some recovery ability.</t>
  </si>
  <si>
    <t>Improved court coverage; decent acceleration.</t>
  </si>
  <si>
    <t>Can change direction with moderate control.</t>
  </si>
  <si>
    <t>Improved flexibility; fewer movement restrictions.</t>
  </si>
  <si>
    <t>Strong kinetic chain; generates power efficiently.</t>
  </si>
  <si>
    <t>High stamina; maintains intensity over long matches.</t>
  </si>
  <si>
    <t>Explosive first step; anticipates and reaches difficult shots.</t>
  </si>
  <si>
    <t>Quick, balanced movement in all directions.</t>
  </si>
  <si>
    <t>Excellent mobility; fluid movement and injury resilience.</t>
  </si>
  <si>
    <t>Split-step Timing</t>
  </si>
  <si>
    <t>Recovery Steps</t>
  </si>
  <si>
    <t>Lateral Movement</t>
  </si>
  <si>
    <t>Forward/Backward Movement</t>
  </si>
  <si>
    <t>Balance and Posture</t>
  </si>
  <si>
    <t>Rarely uses split-step; often late.</t>
  </si>
  <si>
    <t>Stays off-balance after shots.</t>
  </si>
  <si>
    <t>Struggles with side-to-side coverage.</t>
  </si>
  <si>
    <t>Slow to approach or retreat.</t>
  </si>
  <si>
    <t>Off-balance during strokes.</t>
  </si>
  <si>
    <t>Uses split-step inconsistently; improving timing.</t>
  </si>
  <si>
    <t>Attempts recovery; sometimes late.</t>
  </si>
  <si>
    <t>Covers baseline with moderate success.</t>
  </si>
  <si>
    <t>Improved net approaches and drop shot retrieval.</t>
  </si>
  <si>
    <t>Improved posture; fewer off-balance errors.</t>
  </si>
  <si>
    <t>Consistent, well-timed split-step before every shot.</t>
  </si>
  <si>
    <t>Quick, efficient recovery to ready position.</t>
  </si>
  <si>
    <t>Excellent lateral speed and balance.</t>
  </si>
  <si>
    <t>Explosive forward movement; quick recovery backward.</t>
  </si>
  <si>
    <t>Stable and balanced in all shot situations.</t>
  </si>
  <si>
    <t>First Serve Power &amp; Accuracy</t>
  </si>
  <si>
    <t>Second Serve Reliability</t>
  </si>
  <si>
    <t>Serve Variation</t>
  </si>
  <si>
    <t>Return Positioning</t>
  </si>
  <si>
    <t>Return Strategies</t>
  </si>
  <si>
    <t>Inconsistent; lacks power and direction.</t>
  </si>
  <si>
    <t>Frequent double faults; lacks spin.</t>
  </si>
  <si>
    <t>One-dimensional serve.</t>
  </si>
  <si>
    <t>Poor positioning; reactive returns.</t>
  </si>
  <si>
    <t>Returns without plan.</t>
  </si>
  <si>
    <t>Reliable first serve with moderate pace.</t>
  </si>
  <si>
    <t>Developing topspin/slice second serve.</t>
  </si>
  <si>
    <t>Occasional variation in spin or placement.</t>
  </si>
  <si>
    <t>Understands positioning; adjusts to server.</t>
  </si>
  <si>
    <t>Attempts to neutralize serve.</t>
  </si>
  <si>
    <t>Powerful, accurate first serve with tactical placement.</t>
  </si>
  <si>
    <t>Confident, consistent second serve under pressure.</t>
  </si>
  <si>
    <t>Regularly mixes spin, speed, and placement.</t>
  </si>
  <si>
    <t>Proactively positions based on server tendencies.</t>
  </si>
  <si>
    <t>Aggressively redirects or counterattacks serve.</t>
  </si>
  <si>
    <t>Focus and Concentration</t>
  </si>
  <si>
    <t>Confidence Under Pressure</t>
  </si>
  <si>
    <t>Emotional Control</t>
  </si>
  <si>
    <t>Resilience</t>
  </si>
  <si>
    <t>Match Intensity</t>
  </si>
  <si>
    <t>Easily distracted; loses focus mid-point.</t>
  </si>
  <si>
    <t>Doubts self in tight moments.</t>
  </si>
  <si>
    <t>Frequent frustration or visible emotion.</t>
  </si>
  <si>
    <t>Gives up after mistakes or losses.</t>
  </si>
  <si>
    <t>Low energy; inconsistent effort.</t>
  </si>
  <si>
    <t>Stays focused for most of match.</t>
  </si>
  <si>
    <t>Occasionally confident under pressure.</t>
  </si>
  <si>
    <t>Manages emotions with effort.</t>
  </si>
  <si>
    <t>Recovers slowly from setbacks.</t>
  </si>
  <si>
    <t>Moderate intensity; fades at times.</t>
  </si>
  <si>
    <t>Sustains focus under pressure and long matches.</t>
  </si>
  <si>
    <t>Thrives in pressure situations; believes in game.</t>
  </si>
  <si>
    <t>Stays composed and positive regardless of score.</t>
  </si>
  <si>
    <t>Quickly rebounds from errors or tough losses.</t>
  </si>
  <si>
    <t>High energy and intensity throughout match.</t>
  </si>
  <si>
    <t>Pre-match Planning</t>
  </si>
  <si>
    <t>In-match Adjustments</t>
  </si>
  <si>
    <t>Surface-specific Strategies</t>
  </si>
  <si>
    <t>Singles vs Doubles Approaches</t>
  </si>
  <si>
    <t>Closing Out Matches</t>
  </si>
  <si>
    <t>No plan; relies on instinct.</t>
  </si>
  <si>
    <t>Sticks to one strategy.</t>
  </si>
  <si>
    <t>Same tactics on all surfaces.</t>
  </si>
  <si>
    <t>Same style in both formats.</t>
  </si>
  <si>
    <t>Struggles to finish matches.</t>
  </si>
  <si>
    <t>Basic plan based on past matches.</t>
  </si>
  <si>
    <t>Attempts adjustments when losing.</t>
  </si>
  <si>
    <t>Adjusts slightly for surface.</t>
  </si>
  <si>
    <t>Understands basic differences.</t>
  </si>
  <si>
    <t>Can close with effort and focus.</t>
  </si>
  <si>
    <t>Detailed plan based on opponent scouting.</t>
  </si>
  <si>
    <t>Adapts strategy proactively during match.</t>
  </si>
  <si>
    <t>Tailors game plan to surface strengths.</t>
  </si>
  <si>
    <t>Adapts tactics and positioning effectively.</t>
  </si>
  <si>
    <t>Confident and composed in closing stages.</t>
  </si>
  <si>
    <t>Tournament Exposure</t>
  </si>
  <si>
    <t>Match-play Practice</t>
  </si>
  <si>
    <t>Handling Pressure Situations</t>
  </si>
  <si>
    <t>Learning from Wins/Losses</t>
  </si>
  <si>
    <t>Match Consistency</t>
  </si>
  <si>
    <t>Limited match play experience.</t>
  </si>
  <si>
    <t>Rarely plays practice matches.</t>
  </si>
  <si>
    <t>Struggles in tiebreaks or close sets.</t>
  </si>
  <si>
    <t>Repeats same mistakes.</t>
  </si>
  <si>
    <t>Inconsistent performance.</t>
  </si>
  <si>
    <t>Plays local tournaments occasionally.</t>
  </si>
  <si>
    <t>Plays matches weekly.</t>
  </si>
  <si>
    <t>Improving under pressure.</t>
  </si>
  <si>
    <t>Reflects occasionally on outcomes.</t>
  </si>
  <si>
    <t>Plays well in patches.</t>
  </si>
  <si>
    <t>Regularly competes in regional/national events.</t>
  </si>
  <si>
    <t>Frequent match play with varied opponents.</t>
  </si>
  <si>
    <t>Excels in high-stakes moments.</t>
  </si>
  <si>
    <t>Analyzes matches and applies lessons.</t>
  </si>
  <si>
    <t>Delivers steady performance across matches.</t>
  </si>
  <si>
    <t>Rest and Sleep</t>
  </si>
  <si>
    <t>Nutrition and Hydration</t>
  </si>
  <si>
    <t>Warm-up/Cool-down</t>
  </si>
  <si>
    <t>Prehab Exercises</t>
  </si>
  <si>
    <t>Injury Management Awareness</t>
  </si>
  <si>
    <t>Irregular sleep; poor recovery.</t>
  </si>
  <si>
    <t>Unaware of fueling needs.</t>
  </si>
  <si>
    <t>Skips or rushes warm-up.</t>
  </si>
  <si>
    <t>Does not perform injury prevention.</t>
  </si>
  <si>
    <t>Plays through pain; lacks awareness.</t>
  </si>
  <si>
    <t>Improving rest habits.</t>
  </si>
  <si>
    <t>Basic hydration and nutrition habits.</t>
  </si>
  <si>
    <t>Performs basic routines.</t>
  </si>
  <si>
    <t>Occasional prehab work.</t>
  </si>
  <si>
    <t>Reports issues; seeks help.</t>
  </si>
  <si>
    <t>Prioritizes sleep and recovery routines.</t>
  </si>
  <si>
    <t>Optimizes intake for training and matches.</t>
  </si>
  <si>
    <t>Consistent, thorough warm-up and recovery.</t>
  </si>
  <si>
    <t>Regular targeted prehab routines.</t>
  </si>
  <si>
    <t>Proactively manages and prevents injuries.</t>
  </si>
  <si>
    <t>Player–Coach Dialogue</t>
  </si>
  <si>
    <t>Journaling/Match Notes</t>
  </si>
  <si>
    <t>Video Analysis</t>
  </si>
  <si>
    <t>Goal Setting</t>
  </si>
  <si>
    <t>Peer Feedback</t>
  </si>
  <si>
    <t>Minimal communication.</t>
  </si>
  <si>
    <t>Does not reflect on matches.</t>
  </si>
  <si>
    <t>Rarely watches footage.</t>
  </si>
  <si>
    <t>No clear goals.</t>
  </si>
  <si>
    <t>Avoids feedback.</t>
  </si>
  <si>
    <t>Shares feedback occasionally.</t>
  </si>
  <si>
    <t>Occasional notes or journaling.</t>
  </si>
  <si>
    <t>Watches with coach occasionally.</t>
  </si>
  <si>
    <t>Sets short-term goals.</t>
  </si>
  <si>
    <t>Accepts feedback when prompted.</t>
  </si>
  <si>
    <t>Open, two-way communication with coach.</t>
  </si>
  <si>
    <t>Consistent match logs and reflections.</t>
  </si>
  <si>
    <t>Regularly reviews and analyzes video.</t>
  </si>
  <si>
    <t>Sets and tracks short- and long-term goals.</t>
  </si>
  <si>
    <t>Seeks and applies peer feedback.</t>
  </si>
  <si>
    <t>Time Management</t>
  </si>
  <si>
    <t>Sleep Hygiene</t>
  </si>
  <si>
    <t>Nutrition Habits</t>
  </si>
  <si>
    <t>Professionalism</t>
  </si>
  <si>
    <t>Routine Consistency</t>
  </si>
  <si>
    <t>Often late or unprepared.</t>
  </si>
  <si>
    <t>Irregular sleep schedule.</t>
  </si>
  <si>
    <t>Poor eating habits.</t>
  </si>
  <si>
    <t>Casual attitude toward training.</t>
  </si>
  <si>
    <t>Inconsistent routines.</t>
  </si>
  <si>
    <t>Improving punctuality and planning.</t>
  </si>
  <si>
    <t>Basic awareness of sleep needs.</t>
  </si>
  <si>
    <t>Improving food choices.</t>
  </si>
  <si>
    <t>Takes training seriously.</t>
  </si>
  <si>
    <t>Developing habits.</t>
  </si>
  <si>
    <t>Consistently manages time and commitments.</t>
  </si>
  <si>
    <t>Prioritizes consistent, quality sleep.</t>
  </si>
  <si>
    <t>Fuels body for performance and recovery.</t>
  </si>
  <si>
    <t>Approaches tennis with professional mindset.</t>
  </si>
  <si>
    <t>Disciplined, consistent daily routines.</t>
  </si>
  <si>
    <t>Developing Spins</t>
  </si>
  <si>
    <t>Using Angles</t>
  </si>
  <si>
    <t>Improvisation</t>
  </si>
  <si>
    <t>Trick Shots</t>
  </si>
  <si>
    <t>Variety in Rally Play</t>
  </si>
  <si>
    <t>Limited spin control.</t>
  </si>
  <si>
    <t>Plays mostly down the middle.</t>
  </si>
  <si>
    <t>Struggles outside structured play.</t>
  </si>
  <si>
    <t>Avoids or misuses trick shots.</t>
  </si>
  <si>
    <t>One-dimensional rallies.</t>
  </si>
  <si>
    <t>Uses topspin and slice occasionally.</t>
  </si>
  <si>
    <t>Attempts cross-court angles.</t>
  </si>
  <si>
    <t>Occasionally improvises under pressure.</t>
  </si>
  <si>
    <t>Uses for fun or surprise.</t>
  </si>
  <si>
    <t>Mixes pace and direction occasionally.</t>
  </si>
  <si>
    <t>Varies spin for tactical advantage.</t>
  </si>
  <si>
    <t>Creates sharp angles to open court.</t>
  </si>
  <si>
    <t>Confident in creating solutions mid-point.</t>
  </si>
  <si>
    <t>Executes with purpose and success.</t>
  </si>
  <si>
    <t>Constantly varies rhythm, spin, and placement.</t>
  </si>
  <si>
    <t>Rating</t>
  </si>
  <si>
    <t>Level</t>
  </si>
  <si>
    <t>Beginner</t>
  </si>
  <si>
    <t>Intermediate</t>
  </si>
  <si>
    <t>Advanced</t>
  </si>
  <si>
    <t>Displayed Attributes</t>
  </si>
  <si>
    <t>Technical Skills</t>
  </si>
  <si>
    <t>2 - Developing</t>
  </si>
  <si>
    <t>3 - Competent</t>
  </si>
  <si>
    <t>4 - Proficient</t>
  </si>
  <si>
    <t>5 - Mastery</t>
  </si>
  <si>
    <t>Attributes to Progress</t>
  </si>
  <si>
    <t>Tactical Awareness</t>
  </si>
  <si>
    <t>Physical Fitness</t>
  </si>
  <si>
    <t>Footwork &amp; Movement</t>
  </si>
  <si>
    <t>Serve &amp; Return</t>
  </si>
  <si>
    <t>1 - Basic</t>
  </si>
  <si>
    <t>Attribute</t>
  </si>
  <si>
    <t>Mental Toughness</t>
  </si>
  <si>
    <t>Match Strategy</t>
  </si>
  <si>
    <t>Competitive Experience</t>
  </si>
  <si>
    <t>Recovery &amp; Injury Prevention</t>
  </si>
  <si>
    <t>Communication &amp; Self-Reflection</t>
  </si>
  <si>
    <t>Lifestyle &amp; Discipline</t>
  </si>
  <si>
    <t>Creativity &amp; Variety</t>
  </si>
  <si>
    <t>Player Name</t>
  </si>
  <si>
    <t>Player Sex</t>
  </si>
  <si>
    <t>Player Age</t>
  </si>
  <si>
    <t>Sex</t>
  </si>
  <si>
    <t>Male</t>
  </si>
  <si>
    <t>Female</t>
  </si>
  <si>
    <t>Standard</t>
  </si>
  <si>
    <t>Tactical Awarenes</t>
  </si>
  <si>
    <t>Player Summary</t>
  </si>
  <si>
    <t>Stewart Gibbs</t>
  </si>
  <si>
    <t>Power and accuracy</t>
  </si>
  <si>
    <t>Lacks confidence on short approach ball</t>
  </si>
  <si>
    <t>Tendency to straighten arms and rotate body</t>
  </si>
  <si>
    <t>Consistency and power</t>
  </si>
  <si>
    <t>Lack of follow through</t>
  </si>
  <si>
    <t>Follow the toss with tossing arm, stretch to the ball and follow through after service motion</t>
  </si>
  <si>
    <t>Doesn't move forward, arms too high</t>
  </si>
  <si>
    <t>Move down to the ball on approach, keep hands firm, push don't swing</t>
  </si>
  <si>
    <t>Split step as server strikes the ball, step into the ball and keep back swing short. Best return down the line or back at the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</si>
</sst>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2" borderId="2" xfId="0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2" borderId="11" xfId="0" applyFill="1" applyBorder="1" applyAlignment="1">
      <alignment vertical="top"/>
    </xf>
    <xf numFmtId="0" fontId="1" fillId="3" borderId="12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1" fillId="3" borderId="14" xfId="0" applyFont="1" applyFill="1" applyBorder="1" applyAlignment="1">
      <alignment horizontal="left" vertical="top"/>
    </xf>
    <xf numFmtId="0" fontId="0" fillId="0" borderId="0" xfId="0" applyBorder="1" applyAlignment="1">
      <alignment vertical="top"/>
    </xf>
    <xf numFmtId="0" fontId="0" fillId="2" borderId="11" xfId="0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9" xfId="0" applyFill="1" applyBorder="1" applyAlignment="1">
      <alignment vertical="top"/>
    </xf>
    <xf numFmtId="0" fontId="0" fillId="4" borderId="10" xfId="0" applyFill="1" applyBorder="1" applyAlignment="1">
      <alignment vertical="top"/>
    </xf>
    <xf numFmtId="0" fontId="0" fillId="4" borderId="0" xfId="0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0" fillId="4" borderId="0" xfId="0" applyFill="1" applyBorder="1" applyAlignment="1">
      <alignment horizontal="left" vertical="top"/>
    </xf>
    <xf numFmtId="0" fontId="0" fillId="4" borderId="15" xfId="0" applyFill="1" applyBorder="1" applyAlignment="1">
      <alignment horizontal="left" vertical="top"/>
    </xf>
    <xf numFmtId="0" fontId="1" fillId="3" borderId="16" xfId="0" applyFont="1" applyFill="1" applyBorder="1" applyAlignment="1">
      <alignment horizontal="left" vertical="top"/>
    </xf>
    <xf numFmtId="0" fontId="1" fillId="3" borderId="17" xfId="0" applyFont="1" applyFill="1" applyBorder="1" applyAlignment="1">
      <alignment horizontal="left" vertical="top"/>
    </xf>
    <xf numFmtId="0" fontId="1" fillId="3" borderId="18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0" fillId="0" borderId="20" xfId="0" applyBorder="1" applyAlignment="1">
      <alignment horizontal="left" vertical="top"/>
    </xf>
    <xf numFmtId="0" fontId="0" fillId="4" borderId="20" xfId="0" applyFill="1" applyBorder="1" applyAlignment="1">
      <alignment horizontal="left" vertical="top"/>
    </xf>
    <xf numFmtId="0" fontId="0" fillId="4" borderId="21" xfId="0" applyFill="1" applyBorder="1" applyAlignment="1">
      <alignment horizontal="left" vertical="top"/>
    </xf>
    <xf numFmtId="0" fontId="0" fillId="2" borderId="1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2" fillId="5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0" fillId="0" borderId="19" xfId="0" applyBorder="1"/>
    <xf numFmtId="0" fontId="0" fillId="0" borderId="0" xfId="0" applyBorder="1"/>
    <xf numFmtId="0" fontId="0" fillId="0" borderId="15" xfId="0" applyBorder="1"/>
    <xf numFmtId="0" fontId="0" fillId="0" borderId="24" xfId="0" applyBorder="1"/>
    <xf numFmtId="0" fontId="0" fillId="0" borderId="22" xfId="0" applyBorder="1"/>
    <xf numFmtId="0" fontId="0" fillId="0" borderId="25" xfId="0" applyBorder="1"/>
    <xf numFmtId="0" fontId="1" fillId="0" borderId="23" xfId="0" applyFont="1" applyBorder="1" applyAlignment="1">
      <alignment vertical="top" wrapText="1"/>
    </xf>
    <xf numFmtId="0" fontId="1" fillId="0" borderId="15" xfId="0" applyFont="1" applyBorder="1" applyAlignment="1">
      <alignment vertical="top"/>
    </xf>
    <xf numFmtId="0" fontId="1" fillId="0" borderId="19" xfId="0" applyFont="1" applyBorder="1" applyAlignment="1">
      <alignment vertical="top" wrapText="1"/>
    </xf>
    <xf numFmtId="0" fontId="1" fillId="0" borderId="0" xfId="0" applyFont="1" applyBorder="1" applyAlignment="1">
      <alignment vertical="top"/>
    </xf>
    <xf numFmtId="0" fontId="3" fillId="6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/>
    <xf numFmtId="0" fontId="2" fillId="4" borderId="0" xfId="0" applyFont="1" applyFill="1"/>
    <xf numFmtId="0" fontId="2" fillId="0" borderId="0" xfId="0" applyFont="1"/>
    <xf numFmtId="0" fontId="0" fillId="4" borderId="21" xfId="0" applyFill="1" applyBorder="1" applyAlignment="1">
      <alignment horizontal="left" vertical="top" wrapText="1"/>
    </xf>
    <xf numFmtId="0" fontId="0" fillId="4" borderId="20" xfId="0" applyFill="1" applyBorder="1" applyAlignment="1">
      <alignment horizontal="left" vertical="top" wrapText="1"/>
    </xf>
    <xf numFmtId="0" fontId="0" fillId="4" borderId="9" xfId="0" applyFill="1" applyBorder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4" borderId="15" xfId="0" applyFill="1" applyBorder="1" applyAlignment="1">
      <alignment vertical="top" wrapText="1"/>
    </xf>
    <xf numFmtId="0" fontId="0" fillId="4" borderId="0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</cellXfs>
  <cellStyles count="1">
    <cellStyle name="Normal" xfId="0" builtinId="0"/>
  </cellStyles>
  <dxfs count="405"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0545-5C81-4DF2-B945-1D61254D6659}">
  <dimension ref="A1:H52"/>
  <sheetViews>
    <sheetView topLeftCell="A26" workbookViewId="0">
      <selection activeCell="I9" sqref="I9"/>
    </sheetView>
  </sheetViews>
  <sheetFormatPr defaultRowHeight="14.6" x14ac:dyDescent="0.4"/>
  <cols>
    <col min="1" max="1" width="19.765625" customWidth="1"/>
    <col min="2" max="2" width="26.23046875" bestFit="1" customWidth="1"/>
    <col min="3" max="4" width="16.69140625" customWidth="1"/>
    <col min="5" max="5" width="19.765625" customWidth="1"/>
    <col min="6" max="6" width="26.61328125" bestFit="1" customWidth="1"/>
    <col min="7" max="8" width="17.4609375" customWidth="1"/>
  </cols>
  <sheetData>
    <row r="1" spans="1:8" x14ac:dyDescent="0.4">
      <c r="A1" s="54" t="s">
        <v>288</v>
      </c>
      <c r="B1" s="54"/>
      <c r="C1" s="54"/>
      <c r="D1" s="54"/>
      <c r="E1" s="54"/>
      <c r="F1" s="54"/>
      <c r="G1" s="54"/>
      <c r="H1" s="54"/>
    </row>
    <row r="2" spans="1:8" x14ac:dyDescent="0.4">
      <c r="A2" s="54"/>
      <c r="B2" s="54"/>
      <c r="C2" s="54"/>
      <c r="D2" s="54"/>
      <c r="E2" s="54"/>
      <c r="F2" s="54"/>
      <c r="G2" s="54"/>
      <c r="H2" s="54"/>
    </row>
    <row r="3" spans="1:8" ht="18.45" x14ac:dyDescent="0.4">
      <c r="A3" s="55"/>
      <c r="B3" s="55"/>
      <c r="C3" s="55"/>
      <c r="D3" s="55"/>
      <c r="E3" s="55"/>
      <c r="F3" s="55"/>
      <c r="G3" s="55"/>
      <c r="H3" s="55"/>
    </row>
    <row r="4" spans="1:8" s="58" customFormat="1" ht="18.45" x14ac:dyDescent="0.5">
      <c r="A4" s="56" t="s">
        <v>280</v>
      </c>
      <c r="B4" s="57" t="s">
        <v>289</v>
      </c>
    </row>
    <row r="5" spans="1:8" s="58" customFormat="1" ht="18.45" x14ac:dyDescent="0.5">
      <c r="A5" s="56" t="s">
        <v>281</v>
      </c>
      <c r="B5" s="58" t="s">
        <v>284</v>
      </c>
    </row>
    <row r="6" spans="1:8" s="58" customFormat="1" ht="18.45" x14ac:dyDescent="0.5">
      <c r="A6" s="56" t="s">
        <v>282</v>
      </c>
      <c r="B6" s="57">
        <v>62</v>
      </c>
    </row>
    <row r="7" spans="1:8" ht="15" thickBot="1" x14ac:dyDescent="0.45"/>
    <row r="8" spans="1:8" ht="28.75" customHeight="1" thickTop="1" x14ac:dyDescent="0.4">
      <c r="A8" s="41" t="s">
        <v>261</v>
      </c>
      <c r="B8" s="42" t="s">
        <v>272</v>
      </c>
      <c r="C8" s="42" t="s">
        <v>256</v>
      </c>
      <c r="D8" s="43" t="s">
        <v>286</v>
      </c>
      <c r="E8" s="41" t="s">
        <v>270</v>
      </c>
      <c r="F8" s="42" t="s">
        <v>272</v>
      </c>
      <c r="G8" s="42" t="s">
        <v>256</v>
      </c>
      <c r="H8" s="43" t="s">
        <v>286</v>
      </c>
    </row>
    <row r="9" spans="1:8" x14ac:dyDescent="0.4">
      <c r="A9" s="44"/>
      <c r="B9" s="45" t="str">
        <f>'Technical Skills'!A3</f>
        <v>Forehand</v>
      </c>
      <c r="C9" s="45" t="str">
        <f>'Technical Skills'!B3</f>
        <v>Advanced</v>
      </c>
      <c r="D9" s="20" t="str">
        <f>'Technical Skills'!C3</f>
        <v>4 - Proficient</v>
      </c>
      <c r="E9" s="44"/>
      <c r="F9" s="45" t="str">
        <f>'Serve &amp; Return'!A3</f>
        <v>Shot Selection</v>
      </c>
      <c r="G9" s="45" t="str">
        <f>'Serve &amp; Return'!B3</f>
        <v>Advanced</v>
      </c>
      <c r="H9" s="20" t="str">
        <f>'Serve &amp; Return'!C3</f>
        <v>4 - Proficient</v>
      </c>
    </row>
    <row r="10" spans="1:8" x14ac:dyDescent="0.4">
      <c r="A10" s="44"/>
      <c r="B10" s="45" t="str">
        <f>'Technical Skills'!A8</f>
        <v>Backhand</v>
      </c>
      <c r="C10" s="45" t="str">
        <f>'Technical Skills'!B8</f>
        <v>Advanced</v>
      </c>
      <c r="D10" s="20" t="str">
        <f>'Technical Skills'!C8</f>
        <v>4 - Proficient</v>
      </c>
      <c r="E10" s="44"/>
      <c r="F10" s="45" t="str">
        <f>'Serve &amp; Return'!A8</f>
        <v>Second Serve Reliability</v>
      </c>
      <c r="G10" s="45" t="str">
        <f>'Serve &amp; Return'!B8</f>
        <v>Advanced</v>
      </c>
      <c r="H10" s="20" t="str">
        <f>'Serve &amp; Return'!C8</f>
        <v>4 - Proficient</v>
      </c>
    </row>
    <row r="11" spans="1:8" x14ac:dyDescent="0.4">
      <c r="A11" s="44"/>
      <c r="B11" s="45" t="str">
        <f>'Technical Skills'!A13</f>
        <v>Serve</v>
      </c>
      <c r="C11" s="45" t="str">
        <f>'Technical Skills'!B13</f>
        <v>Advanced</v>
      </c>
      <c r="D11" s="20" t="str">
        <f>'Technical Skills'!C13</f>
        <v>4 - Proficient</v>
      </c>
      <c r="E11" s="44"/>
      <c r="F11" s="45" t="str">
        <f>'Serve &amp; Return'!A13</f>
        <v>Serve Variation</v>
      </c>
      <c r="G11" s="45" t="str">
        <f>'Serve &amp; Return'!B13</f>
        <v>Advanced</v>
      </c>
      <c r="H11" s="20" t="str">
        <f>'Serve &amp; Return'!C13</f>
        <v>4 - Proficient</v>
      </c>
    </row>
    <row r="12" spans="1:8" x14ac:dyDescent="0.4">
      <c r="A12" s="44"/>
      <c r="B12" s="45" t="str">
        <f>'Technical Skills'!A18</f>
        <v>Volley</v>
      </c>
      <c r="C12" s="45" t="str">
        <f>'Technical Skills'!B18</f>
        <v>Advanced</v>
      </c>
      <c r="D12" s="20" t="str">
        <f>'Technical Skills'!C18</f>
        <v>2 - Developing</v>
      </c>
      <c r="E12" s="44"/>
      <c r="F12" s="45" t="str">
        <f>'Serve &amp; Return'!A18</f>
        <v>Return Positioning</v>
      </c>
      <c r="G12" s="45" t="str">
        <f>'Serve &amp; Return'!B18</f>
        <v>Advanced</v>
      </c>
      <c r="H12" s="20" t="str">
        <f>'Serve &amp; Return'!C18</f>
        <v>4 - Proficient</v>
      </c>
    </row>
    <row r="13" spans="1:8" x14ac:dyDescent="0.4">
      <c r="A13" s="44"/>
      <c r="B13" s="45" t="str">
        <f>'Technical Skills'!A23</f>
        <v>Overhead Smash</v>
      </c>
      <c r="C13" s="45" t="str">
        <f>'Technical Skills'!B23</f>
        <v>Advanced</v>
      </c>
      <c r="D13" s="20" t="str">
        <f>'Technical Skills'!C23</f>
        <v>3 - Competent</v>
      </c>
      <c r="E13" s="44"/>
      <c r="F13" s="45" t="str">
        <f>'Serve &amp; Return'!A23</f>
        <v>Return Strategies</v>
      </c>
      <c r="G13" s="45" t="str">
        <f>'Serve &amp; Return'!B23</f>
        <v>Advanced</v>
      </c>
      <c r="H13" s="20" t="str">
        <f>'Serve &amp; Return'!C23</f>
        <v>4 - Proficient</v>
      </c>
    </row>
    <row r="14" spans="1:8" x14ac:dyDescent="0.4">
      <c r="A14" s="44"/>
      <c r="B14" s="45" t="str">
        <f>'Technical Skills'!A28</f>
        <v>Return of Serve</v>
      </c>
      <c r="C14" s="45" t="str">
        <f>'Technical Skills'!B28</f>
        <v>Advanced</v>
      </c>
      <c r="D14" s="20" t="str">
        <f>'Technical Skills'!C28</f>
        <v>4 - Proficient</v>
      </c>
      <c r="E14" s="44"/>
      <c r="F14" s="45"/>
      <c r="G14" s="45"/>
      <c r="H14" s="46"/>
    </row>
    <row r="15" spans="1:8" x14ac:dyDescent="0.4">
      <c r="A15" s="44"/>
      <c r="B15" s="45" t="str">
        <f>'Technical Skills'!A33</f>
        <v>Specialty Shots</v>
      </c>
      <c r="C15" s="45" t="str">
        <f>'Technical Skills'!B33</f>
        <v>Beginner</v>
      </c>
      <c r="D15" s="20" t="str">
        <f>'Technical Skills'!C33</f>
        <v>2 - Developing</v>
      </c>
      <c r="E15" s="44"/>
      <c r="F15" s="45"/>
      <c r="G15" s="45"/>
      <c r="H15" s="46"/>
    </row>
    <row r="16" spans="1:8" ht="15" thickBot="1" x14ac:dyDescent="0.45">
      <c r="A16" s="47"/>
      <c r="B16" s="48"/>
      <c r="C16" s="48"/>
      <c r="D16" s="49"/>
      <c r="E16" s="47"/>
      <c r="F16" s="48"/>
      <c r="G16" s="48"/>
      <c r="H16" s="49"/>
    </row>
    <row r="17" spans="1:8" ht="29.6" thickTop="1" x14ac:dyDescent="0.4">
      <c r="A17" s="50" t="s">
        <v>269</v>
      </c>
      <c r="B17" s="42" t="s">
        <v>272</v>
      </c>
      <c r="C17" s="42" t="s">
        <v>256</v>
      </c>
      <c r="D17" s="43" t="s">
        <v>286</v>
      </c>
      <c r="E17" s="41" t="s">
        <v>287</v>
      </c>
      <c r="F17" s="42" t="s">
        <v>272</v>
      </c>
      <c r="G17" s="42" t="s">
        <v>256</v>
      </c>
      <c r="H17" s="43" t="s">
        <v>286</v>
      </c>
    </row>
    <row r="18" spans="1:8" x14ac:dyDescent="0.4">
      <c r="A18" s="44"/>
      <c r="B18" s="45" t="str">
        <f>'Footwork &amp; Movement'!A3</f>
        <v>Split-step Timing</v>
      </c>
      <c r="C18" s="45" t="str">
        <f>'Footwork &amp; Movement'!B3</f>
        <v>Intermediate</v>
      </c>
      <c r="D18" s="20" t="str">
        <f>'Footwork &amp; Movement'!C3</f>
        <v>3 - Competent</v>
      </c>
      <c r="E18" s="44"/>
      <c r="F18" s="45" t="str">
        <f>'Tactical Awareness'!A3</f>
        <v>Shot Selection</v>
      </c>
      <c r="G18" s="45" t="str">
        <f>'Tactical Awareness'!B3</f>
        <v>Intermediate</v>
      </c>
      <c r="H18" s="20" t="str">
        <f>'Tactical Awareness'!C3</f>
        <v>4 - Proficient</v>
      </c>
    </row>
    <row r="19" spans="1:8" x14ac:dyDescent="0.4">
      <c r="A19" s="44"/>
      <c r="B19" s="45" t="str">
        <f>'Footwork &amp; Movement'!A8</f>
        <v>Recovery Steps</v>
      </c>
      <c r="C19" s="45" t="str">
        <f>'Footwork &amp; Movement'!B8</f>
        <v>Intermediate</v>
      </c>
      <c r="D19" s="20" t="str">
        <f>'Footwork &amp; Movement'!C8</f>
        <v>3 - Competent</v>
      </c>
      <c r="E19" s="44"/>
      <c r="F19" s="45" t="str">
        <f>'Tactical Awareness'!A8</f>
        <v>Point Construction</v>
      </c>
      <c r="G19" s="45" t="str">
        <f>'Tactical Awareness'!B8</f>
        <v>Beginner</v>
      </c>
      <c r="H19" s="20" t="str">
        <f>'Tactical Awareness'!C8</f>
        <v>1 - Basic</v>
      </c>
    </row>
    <row r="20" spans="1:8" x14ac:dyDescent="0.4">
      <c r="A20" s="44"/>
      <c r="B20" s="45" t="str">
        <f>'Footwork &amp; Movement'!A13</f>
        <v>Lateral Movement</v>
      </c>
      <c r="C20" s="45" t="str">
        <f>'Footwork &amp; Movement'!B13</f>
        <v>Intermediate</v>
      </c>
      <c r="D20" s="20" t="str">
        <f>'Footwork &amp; Movement'!C13</f>
        <v>4 - Proficient</v>
      </c>
      <c r="E20" s="44"/>
      <c r="F20" s="45" t="str">
        <f>'Tactical Awareness'!A13</f>
        <v>Adapting to Opponent</v>
      </c>
      <c r="G20" s="45" t="str">
        <f>'Tactical Awareness'!B13</f>
        <v>Beginner</v>
      </c>
      <c r="H20" s="20" t="str">
        <f>'Tactical Awareness'!C13</f>
        <v>2 - Developing</v>
      </c>
    </row>
    <row r="21" spans="1:8" x14ac:dyDescent="0.4">
      <c r="A21" s="44"/>
      <c r="B21" s="45" t="str">
        <f>'Footwork &amp; Movement'!A18</f>
        <v>Forward/Backward Movement</v>
      </c>
      <c r="C21" s="45" t="str">
        <f>'Footwork &amp; Movement'!B18</f>
        <v>Intermediate</v>
      </c>
      <c r="D21" s="20" t="str">
        <f>'Footwork &amp; Movement'!C18</f>
        <v>2 - Developing</v>
      </c>
      <c r="E21" s="44"/>
      <c r="F21" s="45" t="str">
        <f>'Tactical Awareness'!A18</f>
        <v>Playing to Surfaces</v>
      </c>
      <c r="G21" s="45" t="str">
        <f>'Tactical Awareness'!B18</f>
        <v>Beginner</v>
      </c>
      <c r="H21" s="20" t="str">
        <f>'Tactical Awareness'!C18</f>
        <v>2 - Developing</v>
      </c>
    </row>
    <row r="22" spans="1:8" x14ac:dyDescent="0.4">
      <c r="A22" s="44"/>
      <c r="B22" s="45" t="str">
        <f>'Footwork &amp; Movement'!A23</f>
        <v>Balance and Posture</v>
      </c>
      <c r="C22" s="45" t="str">
        <f>'Footwork &amp; Movement'!B23</f>
        <v>Intermediate</v>
      </c>
      <c r="D22" s="20" t="str">
        <f>'Footwork &amp; Movement'!C23</f>
        <v>3 - Competent</v>
      </c>
      <c r="E22" s="44"/>
      <c r="F22" s="45" t="str">
        <f>'Tactical Awareness'!A23</f>
        <v>Doubles Tactics</v>
      </c>
      <c r="G22" s="45" t="str">
        <f>'Tactical Awareness'!B23</f>
        <v>Beginner</v>
      </c>
      <c r="H22" s="20" t="str">
        <f>'Tactical Awareness'!C23</f>
        <v>2 - Developing</v>
      </c>
    </row>
    <row r="23" spans="1:8" ht="15" thickBot="1" x14ac:dyDescent="0.45">
      <c r="A23" s="47"/>
      <c r="B23" s="48"/>
      <c r="C23" s="48"/>
      <c r="D23" s="49"/>
      <c r="E23" s="47"/>
      <c r="F23" s="48"/>
      <c r="G23" s="48"/>
      <c r="H23" s="49"/>
    </row>
    <row r="24" spans="1:8" ht="29.6" thickTop="1" x14ac:dyDescent="0.4">
      <c r="A24" s="52" t="s">
        <v>279</v>
      </c>
      <c r="B24" s="53" t="s">
        <v>272</v>
      </c>
      <c r="C24" s="53" t="s">
        <v>256</v>
      </c>
      <c r="D24" s="51" t="s">
        <v>286</v>
      </c>
      <c r="E24" s="41" t="s">
        <v>274</v>
      </c>
      <c r="F24" s="42" t="s">
        <v>272</v>
      </c>
      <c r="G24" s="42" t="s">
        <v>256</v>
      </c>
      <c r="H24" s="43" t="s">
        <v>286</v>
      </c>
    </row>
    <row r="25" spans="1:8" x14ac:dyDescent="0.4">
      <c r="A25" s="44"/>
      <c r="B25" s="45" t="str">
        <f>'Creativity &amp; Variety'!A3</f>
        <v>Developing Spins</v>
      </c>
      <c r="C25" s="45" t="str">
        <f>'Creativity &amp; Variety'!B3</f>
        <v>Beginner</v>
      </c>
      <c r="D25" s="20" t="str">
        <f>'Creativity &amp; Variety'!C3</f>
        <v>4 - Proficient</v>
      </c>
      <c r="E25" s="44"/>
      <c r="F25" s="45" t="str">
        <f>'Match Strategy'!A3</f>
        <v>Pre-match Planning</v>
      </c>
      <c r="G25" s="45" t="str">
        <f>'Match Strategy'!B3</f>
        <v>Beginner</v>
      </c>
      <c r="H25" s="20" t="str">
        <f>'Match Strategy'!C3</f>
        <v>4 - Proficient</v>
      </c>
    </row>
    <row r="26" spans="1:8" x14ac:dyDescent="0.4">
      <c r="A26" s="44"/>
      <c r="B26" s="45" t="str">
        <f>'Creativity &amp; Variety'!A8</f>
        <v>Using Angles</v>
      </c>
      <c r="C26" s="45" t="str">
        <f>'Creativity &amp; Variety'!B8</f>
        <v>Beginner</v>
      </c>
      <c r="D26" s="20" t="str">
        <f>'Creativity &amp; Variety'!C8</f>
        <v>1 - Basic</v>
      </c>
      <c r="E26" s="44"/>
      <c r="F26" s="45" t="str">
        <f>'Match Strategy'!A8</f>
        <v>In-match Adjustments</v>
      </c>
      <c r="G26" s="45" t="str">
        <f>'Match Strategy'!B8</f>
        <v>Beginner</v>
      </c>
      <c r="H26" s="20" t="str">
        <f>'Match Strategy'!C8</f>
        <v>1 - Basic</v>
      </c>
    </row>
    <row r="27" spans="1:8" x14ac:dyDescent="0.4">
      <c r="A27" s="44"/>
      <c r="B27" s="45" t="str">
        <f>'Creativity &amp; Variety'!A13</f>
        <v>Improvisation</v>
      </c>
      <c r="C27" s="45" t="str">
        <f>'Creativity &amp; Variety'!B13</f>
        <v>Beginner</v>
      </c>
      <c r="D27" s="20" t="str">
        <f>'Creativity &amp; Variety'!C13</f>
        <v>2 - Developing</v>
      </c>
      <c r="E27" s="44"/>
      <c r="F27" s="45" t="str">
        <f>'Match Strategy'!A13</f>
        <v>Surface-specific Strategies</v>
      </c>
      <c r="G27" s="45" t="str">
        <f>'Match Strategy'!B13</f>
        <v>Beginner</v>
      </c>
      <c r="H27" s="20" t="str">
        <f>'Match Strategy'!C13</f>
        <v>2 - Developing</v>
      </c>
    </row>
    <row r="28" spans="1:8" x14ac:dyDescent="0.4">
      <c r="A28" s="44"/>
      <c r="B28" s="45" t="str">
        <f>'Creativity &amp; Variety'!A18</f>
        <v>Trick Shots</v>
      </c>
      <c r="C28" s="45" t="str">
        <f>'Creativity &amp; Variety'!B18</f>
        <v>Beginner</v>
      </c>
      <c r="D28" s="20" t="str">
        <f>'Creativity &amp; Variety'!C18</f>
        <v>2 - Developing</v>
      </c>
      <c r="E28" s="44"/>
      <c r="F28" s="45" t="str">
        <f>'Match Strategy'!A18</f>
        <v>Singles vs Doubles Approaches</v>
      </c>
      <c r="G28" s="45" t="str">
        <f>'Match Strategy'!B18</f>
        <v>Beginner</v>
      </c>
      <c r="H28" s="20" t="str">
        <f>'Match Strategy'!C18</f>
        <v>2 - Developing</v>
      </c>
    </row>
    <row r="29" spans="1:8" x14ac:dyDescent="0.4">
      <c r="A29" s="44"/>
      <c r="B29" s="45" t="str">
        <f>'Creativity &amp; Variety'!A23</f>
        <v>Variety in Rally Play</v>
      </c>
      <c r="C29" s="45" t="str">
        <f>'Creativity &amp; Variety'!B23</f>
        <v>Beginner</v>
      </c>
      <c r="D29" s="20" t="str">
        <f>'Creativity &amp; Variety'!C23</f>
        <v>2 - Developing</v>
      </c>
      <c r="E29" s="44"/>
      <c r="F29" s="45" t="str">
        <f>'Match Strategy'!A23</f>
        <v>Closing Out Matches</v>
      </c>
      <c r="G29" s="45" t="str">
        <f>'Match Strategy'!B23</f>
        <v>Beginner</v>
      </c>
      <c r="H29" s="20" t="str">
        <f>'Match Strategy'!C23</f>
        <v>2 - Developing</v>
      </c>
    </row>
    <row r="30" spans="1:8" ht="15" thickBot="1" x14ac:dyDescent="0.45">
      <c r="A30" s="47"/>
      <c r="B30" s="48"/>
      <c r="C30" s="48"/>
      <c r="D30" s="49"/>
      <c r="E30" s="47"/>
      <c r="F30" s="48"/>
      <c r="G30" s="48"/>
      <c r="H30" s="49"/>
    </row>
    <row r="31" spans="1:8" ht="29.6" thickTop="1" x14ac:dyDescent="0.4">
      <c r="A31" s="50" t="s">
        <v>275</v>
      </c>
      <c r="B31" s="42" t="s">
        <v>272</v>
      </c>
      <c r="C31" s="42" t="s">
        <v>256</v>
      </c>
      <c r="D31" s="43" t="s">
        <v>286</v>
      </c>
      <c r="E31" s="41" t="s">
        <v>268</v>
      </c>
      <c r="F31" s="42" t="s">
        <v>272</v>
      </c>
      <c r="G31" s="42" t="s">
        <v>256</v>
      </c>
      <c r="H31" s="43" t="s">
        <v>286</v>
      </c>
    </row>
    <row r="32" spans="1:8" x14ac:dyDescent="0.4">
      <c r="A32" s="44"/>
      <c r="B32" s="45" t="str">
        <f>'Competitive Experience'!A3</f>
        <v>Tournament Exposure</v>
      </c>
      <c r="C32" s="45" t="str">
        <f>'Competitive Experience'!B3</f>
        <v>Beginner</v>
      </c>
      <c r="D32" s="20" t="str">
        <f>'Competitive Experience'!C3</f>
        <v>4 - Proficient</v>
      </c>
      <c r="E32" s="44"/>
      <c r="F32" s="45" t="str">
        <f>'Physical Fitness'!A3</f>
        <v>Strength</v>
      </c>
      <c r="G32" s="45" t="str">
        <f>'Physical Fitness'!B3</f>
        <v>Beginner</v>
      </c>
      <c r="H32" s="20" t="str">
        <f>'Physical Fitness'!C3</f>
        <v>4 - Proficient</v>
      </c>
    </row>
    <row r="33" spans="1:8" x14ac:dyDescent="0.4">
      <c r="A33" s="44"/>
      <c r="B33" s="45" t="str">
        <f>'Competitive Experience'!A8</f>
        <v>Match-play Practice</v>
      </c>
      <c r="C33" s="45" t="str">
        <f>'Competitive Experience'!B8</f>
        <v>Beginner</v>
      </c>
      <c r="D33" s="20" t="str">
        <f>'Competitive Experience'!C8</f>
        <v>1 - Basic</v>
      </c>
      <c r="E33" s="44"/>
      <c r="F33" s="45" t="str">
        <f>'Physical Fitness'!A8</f>
        <v>Endurance</v>
      </c>
      <c r="G33" s="45" t="str">
        <f>'Physical Fitness'!B8</f>
        <v>Beginner</v>
      </c>
      <c r="H33" s="20" t="str">
        <f>'Physical Fitness'!C8</f>
        <v>1 - Basic</v>
      </c>
    </row>
    <row r="34" spans="1:8" x14ac:dyDescent="0.4">
      <c r="A34" s="44"/>
      <c r="B34" s="45" t="str">
        <f>'Competitive Experience'!A13</f>
        <v>Handling Pressure Situations</v>
      </c>
      <c r="C34" s="45" t="str">
        <f>'Competitive Experience'!B13</f>
        <v>Beginner</v>
      </c>
      <c r="D34" s="20" t="str">
        <f>'Competitive Experience'!C13</f>
        <v>2 - Developing</v>
      </c>
      <c r="E34" s="44"/>
      <c r="F34" s="45" t="str">
        <f>'Physical Fitness'!A13</f>
        <v>Speed</v>
      </c>
      <c r="G34" s="45" t="str">
        <f>'Physical Fitness'!B13</f>
        <v>Beginner</v>
      </c>
      <c r="H34" s="20" t="str">
        <f>'Physical Fitness'!C13</f>
        <v>2 - Developing</v>
      </c>
    </row>
    <row r="35" spans="1:8" x14ac:dyDescent="0.4">
      <c r="A35" s="44"/>
      <c r="B35" s="45" t="str">
        <f>'Competitive Experience'!A18</f>
        <v>Learning from Wins/Losses</v>
      </c>
      <c r="C35" s="45" t="str">
        <f>'Competitive Experience'!B18</f>
        <v>Beginner</v>
      </c>
      <c r="D35" s="20" t="str">
        <f>'Competitive Experience'!C18</f>
        <v>2 - Developing</v>
      </c>
      <c r="E35" s="44"/>
      <c r="F35" s="45" t="str">
        <f>'Physical Fitness'!A18</f>
        <v>Agility</v>
      </c>
      <c r="G35" s="45" t="str">
        <f>'Physical Fitness'!B18</f>
        <v>Beginner</v>
      </c>
      <c r="H35" s="20" t="str">
        <f>'Physical Fitness'!C18</f>
        <v>2 - Developing</v>
      </c>
    </row>
    <row r="36" spans="1:8" x14ac:dyDescent="0.4">
      <c r="A36" s="44"/>
      <c r="B36" s="45" t="str">
        <f>'Competitive Experience'!A23</f>
        <v>Match Consistency</v>
      </c>
      <c r="C36" s="45" t="str">
        <f>'Competitive Experience'!B23</f>
        <v>Beginner</v>
      </c>
      <c r="D36" s="20" t="str">
        <f>'Competitive Experience'!C23</f>
        <v>2 - Developing</v>
      </c>
      <c r="E36" s="44"/>
      <c r="F36" s="45" t="str">
        <f>'Physical Fitness'!A23</f>
        <v>Flexibility &amp; Mobility</v>
      </c>
      <c r="G36" s="45" t="str">
        <f>'Physical Fitness'!B23</f>
        <v>Beginner</v>
      </c>
      <c r="H36" s="20" t="str">
        <f>'Physical Fitness'!C23</f>
        <v>2 - Developing</v>
      </c>
    </row>
    <row r="37" spans="1:8" ht="15" thickBot="1" x14ac:dyDescent="0.45">
      <c r="A37" s="47"/>
      <c r="B37" s="48"/>
      <c r="C37" s="48"/>
      <c r="D37" s="49"/>
      <c r="E37" s="47"/>
      <c r="F37" s="48"/>
      <c r="G37" s="48"/>
      <c r="H37" s="49"/>
    </row>
    <row r="38" spans="1:8" ht="29.6" thickTop="1" x14ac:dyDescent="0.4">
      <c r="A38" s="50" t="s">
        <v>273</v>
      </c>
      <c r="B38" s="42" t="s">
        <v>272</v>
      </c>
      <c r="C38" s="42" t="s">
        <v>256</v>
      </c>
      <c r="D38" s="43" t="s">
        <v>286</v>
      </c>
      <c r="E38" s="50" t="s">
        <v>276</v>
      </c>
      <c r="F38" s="42" t="s">
        <v>272</v>
      </c>
      <c r="G38" s="42" t="s">
        <v>256</v>
      </c>
      <c r="H38" s="43" t="s">
        <v>286</v>
      </c>
    </row>
    <row r="39" spans="1:8" x14ac:dyDescent="0.4">
      <c r="A39" s="44"/>
      <c r="B39" s="45" t="str">
        <f>'Mental Toughness'!A3</f>
        <v>Focus and Concentration</v>
      </c>
      <c r="C39" s="45" t="str">
        <f>'Mental Toughness'!B3</f>
        <v>Beginner</v>
      </c>
      <c r="D39" s="20" t="str">
        <f>'Mental Toughness'!C3</f>
        <v>4 - Proficient</v>
      </c>
      <c r="E39" s="44"/>
      <c r="F39" s="45" t="str">
        <f>'Recovery &amp; Injury Prevention'!A3</f>
        <v>Rest and Sleep</v>
      </c>
      <c r="G39" s="45" t="str">
        <f>'Recovery &amp; Injury Prevention'!B3</f>
        <v>Beginner</v>
      </c>
      <c r="H39" s="20" t="str">
        <f>'Recovery &amp; Injury Prevention'!C3</f>
        <v>4 - Proficient</v>
      </c>
    </row>
    <row r="40" spans="1:8" x14ac:dyDescent="0.4">
      <c r="A40" s="44"/>
      <c r="B40" s="45" t="str">
        <f>'Mental Toughness'!A8</f>
        <v>Confidence Under Pressure</v>
      </c>
      <c r="C40" s="45" t="str">
        <f>'Mental Toughness'!B8</f>
        <v>Beginner</v>
      </c>
      <c r="D40" s="20" t="str">
        <f>'Mental Toughness'!C8</f>
        <v>1 - Basic</v>
      </c>
      <c r="E40" s="44"/>
      <c r="F40" s="45" t="str">
        <f>'Recovery &amp; Injury Prevention'!A8</f>
        <v>Nutrition and Hydration</v>
      </c>
      <c r="G40" s="45" t="str">
        <f>'Recovery &amp; Injury Prevention'!B8</f>
        <v>Beginner</v>
      </c>
      <c r="H40" s="20" t="str">
        <f>'Recovery &amp; Injury Prevention'!C8</f>
        <v>1 - Basic</v>
      </c>
    </row>
    <row r="41" spans="1:8" x14ac:dyDescent="0.4">
      <c r="A41" s="44"/>
      <c r="B41" s="45" t="str">
        <f>'Mental Toughness'!A13</f>
        <v>Emotional Control</v>
      </c>
      <c r="C41" s="45" t="str">
        <f>'Mental Toughness'!B13</f>
        <v>Beginner</v>
      </c>
      <c r="D41" s="20" t="str">
        <f>'Mental Toughness'!C13</f>
        <v>2 - Developing</v>
      </c>
      <c r="E41" s="44"/>
      <c r="F41" s="45" t="str">
        <f>'Recovery &amp; Injury Prevention'!A13</f>
        <v>Warm-up/Cool-down</v>
      </c>
      <c r="G41" s="45" t="str">
        <f>'Recovery &amp; Injury Prevention'!B13</f>
        <v>Beginner</v>
      </c>
      <c r="H41" s="20" t="str">
        <f>'Recovery &amp; Injury Prevention'!C13</f>
        <v>2 - Developing</v>
      </c>
    </row>
    <row r="42" spans="1:8" x14ac:dyDescent="0.4">
      <c r="A42" s="44"/>
      <c r="B42" s="45" t="str">
        <f>'Mental Toughness'!A18</f>
        <v>Resilience</v>
      </c>
      <c r="C42" s="45" t="str">
        <f>'Mental Toughness'!B18</f>
        <v>Beginner</v>
      </c>
      <c r="D42" s="20" t="str">
        <f>'Mental Toughness'!C18</f>
        <v>2 - Developing</v>
      </c>
      <c r="E42" s="44"/>
      <c r="F42" s="45" t="str">
        <f>'Recovery &amp; Injury Prevention'!A18</f>
        <v>Prehab Exercises</v>
      </c>
      <c r="G42" s="45" t="str">
        <f>'Recovery &amp; Injury Prevention'!B18</f>
        <v>Beginner</v>
      </c>
      <c r="H42" s="20" t="str">
        <f>'Recovery &amp; Injury Prevention'!C18</f>
        <v>2 - Developing</v>
      </c>
    </row>
    <row r="43" spans="1:8" x14ac:dyDescent="0.4">
      <c r="A43" s="44"/>
      <c r="B43" s="45" t="str">
        <f>'Mental Toughness'!A23</f>
        <v>Match Intensity</v>
      </c>
      <c r="C43" s="45" t="str">
        <f>'Mental Toughness'!B23</f>
        <v>Beginner</v>
      </c>
      <c r="D43" s="20" t="str">
        <f>'Mental Toughness'!C23</f>
        <v>2 - Developing</v>
      </c>
      <c r="E43" s="44"/>
      <c r="F43" s="45" t="str">
        <f>'Recovery &amp; Injury Prevention'!A23</f>
        <v>Injury Management Awareness</v>
      </c>
      <c r="G43" s="45" t="str">
        <f>'Recovery &amp; Injury Prevention'!B23</f>
        <v>Beginner</v>
      </c>
      <c r="H43" s="20" t="str">
        <f>'Recovery &amp; Injury Prevention'!C23</f>
        <v>2 - Developing</v>
      </c>
    </row>
    <row r="44" spans="1:8" ht="15" thickBot="1" x14ac:dyDescent="0.45">
      <c r="A44" s="47"/>
      <c r="B44" s="48"/>
      <c r="C44" s="48"/>
      <c r="D44" s="49"/>
      <c r="E44" s="47"/>
      <c r="F44" s="48"/>
      <c r="G44" s="48"/>
      <c r="H44" s="49"/>
    </row>
    <row r="45" spans="1:8" ht="29.6" thickTop="1" x14ac:dyDescent="0.4">
      <c r="A45" s="50" t="s">
        <v>277</v>
      </c>
      <c r="B45" s="42" t="s">
        <v>272</v>
      </c>
      <c r="C45" s="42" t="s">
        <v>256</v>
      </c>
      <c r="D45" s="43" t="s">
        <v>286</v>
      </c>
      <c r="E45" s="50" t="s">
        <v>278</v>
      </c>
      <c r="F45" s="42" t="s">
        <v>272</v>
      </c>
      <c r="G45" s="42" t="s">
        <v>256</v>
      </c>
      <c r="H45" s="43" t="s">
        <v>286</v>
      </c>
    </row>
    <row r="46" spans="1:8" x14ac:dyDescent="0.4">
      <c r="A46" s="44"/>
      <c r="B46" s="45" t="str">
        <f>'Communication &amp; Self-Reflection'!A3</f>
        <v>Player–Coach Dialogue</v>
      </c>
      <c r="C46" s="45" t="str">
        <f>'Communication &amp; Self-Reflection'!B3</f>
        <v>Beginner</v>
      </c>
      <c r="D46" s="20" t="str">
        <f>'Communication &amp; Self-Reflection'!C3</f>
        <v>4 - Proficient</v>
      </c>
      <c r="E46" s="44"/>
      <c r="F46" s="45" t="str">
        <f>'Lifestyle &amp; Discipline'!A3</f>
        <v>Time Management</v>
      </c>
      <c r="G46" s="45" t="str">
        <f>'Lifestyle &amp; Discipline'!B3</f>
        <v>Beginner</v>
      </c>
      <c r="H46" s="20" t="str">
        <f>'Lifestyle &amp; Discipline'!C3</f>
        <v>4 - Proficient</v>
      </c>
    </row>
    <row r="47" spans="1:8" x14ac:dyDescent="0.4">
      <c r="A47" s="44"/>
      <c r="B47" s="45" t="str">
        <f>'Communication &amp; Self-Reflection'!A8</f>
        <v>Journaling/Match Notes</v>
      </c>
      <c r="C47" s="45" t="str">
        <f>'Communication &amp; Self-Reflection'!B8</f>
        <v>Beginner</v>
      </c>
      <c r="D47" s="20" t="str">
        <f>'Communication &amp; Self-Reflection'!C8</f>
        <v>1 - Basic</v>
      </c>
      <c r="E47" s="44"/>
      <c r="F47" s="45" t="str">
        <f>'Lifestyle &amp; Discipline'!A8</f>
        <v>Sleep Hygiene</v>
      </c>
      <c r="G47" s="45" t="str">
        <f>'Lifestyle &amp; Discipline'!B8</f>
        <v>Beginner</v>
      </c>
      <c r="H47" s="20" t="str">
        <f>'Lifestyle &amp; Discipline'!C8</f>
        <v>1 - Basic</v>
      </c>
    </row>
    <row r="48" spans="1:8" x14ac:dyDescent="0.4">
      <c r="A48" s="44"/>
      <c r="B48" s="45" t="str">
        <f>'Communication &amp; Self-Reflection'!A13</f>
        <v>Video Analysis</v>
      </c>
      <c r="C48" s="45" t="str">
        <f>'Communication &amp; Self-Reflection'!B13</f>
        <v>Beginner</v>
      </c>
      <c r="D48" s="20" t="str">
        <f>'Communication &amp; Self-Reflection'!C13</f>
        <v>2 - Developing</v>
      </c>
      <c r="E48" s="44"/>
      <c r="F48" s="45" t="str">
        <f>'Lifestyle &amp; Discipline'!A13</f>
        <v>Nutrition Habits</v>
      </c>
      <c r="G48" s="45" t="str">
        <f>'Lifestyle &amp; Discipline'!B13</f>
        <v>Beginner</v>
      </c>
      <c r="H48" s="20" t="str">
        <f>'Lifestyle &amp; Discipline'!C13</f>
        <v>2 - Developing</v>
      </c>
    </row>
    <row r="49" spans="1:8" x14ac:dyDescent="0.4">
      <c r="A49" s="44"/>
      <c r="B49" s="45" t="str">
        <f>'Communication &amp; Self-Reflection'!A18</f>
        <v>Goal Setting</v>
      </c>
      <c r="C49" s="45" t="str">
        <f>'Communication &amp; Self-Reflection'!B18</f>
        <v>Beginner</v>
      </c>
      <c r="D49" s="20" t="str">
        <f>'Communication &amp; Self-Reflection'!C18</f>
        <v>2 - Developing</v>
      </c>
      <c r="E49" s="44"/>
      <c r="F49" s="45" t="str">
        <f>'Lifestyle &amp; Discipline'!A18</f>
        <v>Professionalism</v>
      </c>
      <c r="G49" s="45" t="str">
        <f>'Lifestyle &amp; Discipline'!B18</f>
        <v>Beginner</v>
      </c>
      <c r="H49" s="20" t="str">
        <f>'Lifestyle &amp; Discipline'!C18</f>
        <v>2 - Developing</v>
      </c>
    </row>
    <row r="50" spans="1:8" x14ac:dyDescent="0.4">
      <c r="A50" s="44"/>
      <c r="B50" s="45" t="str">
        <f>'Communication &amp; Self-Reflection'!A23</f>
        <v>Peer Feedback</v>
      </c>
      <c r="C50" s="45" t="str">
        <f>'Communication &amp; Self-Reflection'!B23</f>
        <v>Beginner</v>
      </c>
      <c r="D50" s="20" t="str">
        <f>'Communication &amp; Self-Reflection'!C23</f>
        <v>2 - Developing</v>
      </c>
      <c r="E50" s="44"/>
      <c r="F50" s="45" t="str">
        <f>'Lifestyle &amp; Discipline'!A23</f>
        <v>Routine Consistency</v>
      </c>
      <c r="G50" s="45" t="str">
        <f>'Lifestyle &amp; Discipline'!B23</f>
        <v>Beginner</v>
      </c>
      <c r="H50" s="20" t="str">
        <f>'Lifestyle &amp; Discipline'!C23</f>
        <v>2 - Developing</v>
      </c>
    </row>
    <row r="51" spans="1:8" ht="15" thickBot="1" x14ac:dyDescent="0.45">
      <c r="A51" s="47"/>
      <c r="B51" s="48"/>
      <c r="C51" s="48"/>
      <c r="D51" s="49"/>
      <c r="E51" s="47"/>
      <c r="F51" s="48"/>
      <c r="G51" s="48"/>
      <c r="H51" s="49"/>
    </row>
    <row r="52" spans="1:8" ht="15" thickTop="1" x14ac:dyDescent="0.4"/>
  </sheetData>
  <mergeCells count="1">
    <mergeCell ref="A1:H2"/>
  </mergeCells>
  <conditionalFormatting sqref="D9:D15">
    <cfRule type="cellIs" dxfId="404" priority="56" operator="equal">
      <formula>"5 - Mastery"</formula>
    </cfRule>
    <cfRule type="cellIs" dxfId="403" priority="57" operator="equal">
      <formula>"4 - Proficient"</formula>
    </cfRule>
    <cfRule type="cellIs" dxfId="402" priority="58" operator="equal">
      <formula>"3 - Competent"</formula>
    </cfRule>
    <cfRule type="cellIs" dxfId="401" priority="59" operator="equal">
      <formula>"2 - Developing"</formula>
    </cfRule>
    <cfRule type="cellIs" dxfId="400" priority="60" operator="equal">
      <formula>"1 - Basic"</formula>
    </cfRule>
  </conditionalFormatting>
  <conditionalFormatting sqref="H9:H13">
    <cfRule type="cellIs" dxfId="399" priority="51" operator="equal">
      <formula>"5 - Mastery"</formula>
    </cfRule>
    <cfRule type="cellIs" dxfId="398" priority="52" operator="equal">
      <formula>"4 - Proficient"</formula>
    </cfRule>
    <cfRule type="cellIs" dxfId="397" priority="53" operator="equal">
      <formula>"3 - Competent"</formula>
    </cfRule>
    <cfRule type="cellIs" dxfId="396" priority="54" operator="equal">
      <formula>"2 - Developing"</formula>
    </cfRule>
    <cfRule type="cellIs" dxfId="395" priority="55" operator="equal">
      <formula>"1 - Basic"</formula>
    </cfRule>
  </conditionalFormatting>
  <conditionalFormatting sqref="D18:D22">
    <cfRule type="cellIs" dxfId="394" priority="46" operator="equal">
      <formula>"5 - Mastery"</formula>
    </cfRule>
    <cfRule type="cellIs" dxfId="393" priority="47" operator="equal">
      <formula>"4 - Proficient"</formula>
    </cfRule>
    <cfRule type="cellIs" dxfId="392" priority="48" operator="equal">
      <formula>"3 - Competent"</formula>
    </cfRule>
    <cfRule type="cellIs" dxfId="391" priority="49" operator="equal">
      <formula>"2 - Developing"</formula>
    </cfRule>
    <cfRule type="cellIs" dxfId="390" priority="50" operator="equal">
      <formula>"1 - Basic"</formula>
    </cfRule>
  </conditionalFormatting>
  <conditionalFormatting sqref="H18:H22">
    <cfRule type="cellIs" dxfId="389" priority="41" operator="equal">
      <formula>"5 - Mastery"</formula>
    </cfRule>
    <cfRule type="cellIs" dxfId="388" priority="42" operator="equal">
      <formula>"4 - Proficient"</formula>
    </cfRule>
    <cfRule type="cellIs" dxfId="387" priority="43" operator="equal">
      <formula>"3 - Competent"</formula>
    </cfRule>
    <cfRule type="cellIs" dxfId="386" priority="44" operator="equal">
      <formula>"2 - Developing"</formula>
    </cfRule>
    <cfRule type="cellIs" dxfId="385" priority="45" operator="equal">
      <formula>"1 - Basic"</formula>
    </cfRule>
  </conditionalFormatting>
  <conditionalFormatting sqref="D25:D29">
    <cfRule type="cellIs" dxfId="384" priority="36" operator="equal">
      <formula>"5 - Mastery"</formula>
    </cfRule>
    <cfRule type="cellIs" dxfId="383" priority="37" operator="equal">
      <formula>"4 - Proficient"</formula>
    </cfRule>
    <cfRule type="cellIs" dxfId="382" priority="38" operator="equal">
      <formula>"3 - Competent"</formula>
    </cfRule>
    <cfRule type="cellIs" dxfId="381" priority="39" operator="equal">
      <formula>"2 - Developing"</formula>
    </cfRule>
    <cfRule type="cellIs" dxfId="380" priority="40" operator="equal">
      <formula>"1 - Basic"</formula>
    </cfRule>
  </conditionalFormatting>
  <conditionalFormatting sqref="H25:H29">
    <cfRule type="cellIs" dxfId="379" priority="31" operator="equal">
      <formula>"5 - Mastery"</formula>
    </cfRule>
    <cfRule type="cellIs" dxfId="378" priority="32" operator="equal">
      <formula>"4 - Proficient"</formula>
    </cfRule>
    <cfRule type="cellIs" dxfId="377" priority="33" operator="equal">
      <formula>"3 - Competent"</formula>
    </cfRule>
    <cfRule type="cellIs" dxfId="376" priority="34" operator="equal">
      <formula>"2 - Developing"</formula>
    </cfRule>
    <cfRule type="cellIs" dxfId="375" priority="35" operator="equal">
      <formula>"1 - Basic"</formula>
    </cfRule>
  </conditionalFormatting>
  <conditionalFormatting sqref="D32:D36">
    <cfRule type="cellIs" dxfId="374" priority="26" operator="equal">
      <formula>"5 - Mastery"</formula>
    </cfRule>
    <cfRule type="cellIs" dxfId="373" priority="27" operator="equal">
      <formula>"4 - Proficient"</formula>
    </cfRule>
    <cfRule type="cellIs" dxfId="372" priority="28" operator="equal">
      <formula>"3 - Competent"</formula>
    </cfRule>
    <cfRule type="cellIs" dxfId="371" priority="29" operator="equal">
      <formula>"2 - Developing"</formula>
    </cfRule>
    <cfRule type="cellIs" dxfId="370" priority="30" operator="equal">
      <formula>"1 - Basic"</formula>
    </cfRule>
  </conditionalFormatting>
  <conditionalFormatting sqref="H32:H36">
    <cfRule type="cellIs" dxfId="369" priority="21" operator="equal">
      <formula>"5 - Mastery"</formula>
    </cfRule>
    <cfRule type="cellIs" dxfId="368" priority="22" operator="equal">
      <formula>"4 - Proficient"</formula>
    </cfRule>
    <cfRule type="cellIs" dxfId="367" priority="23" operator="equal">
      <formula>"3 - Competent"</formula>
    </cfRule>
    <cfRule type="cellIs" dxfId="366" priority="24" operator="equal">
      <formula>"2 - Developing"</formula>
    </cfRule>
    <cfRule type="cellIs" dxfId="365" priority="25" operator="equal">
      <formula>"1 - Basic"</formula>
    </cfRule>
  </conditionalFormatting>
  <conditionalFormatting sqref="D39:D43">
    <cfRule type="cellIs" dxfId="364" priority="16" operator="equal">
      <formula>"5 - Mastery"</formula>
    </cfRule>
    <cfRule type="cellIs" dxfId="363" priority="17" operator="equal">
      <formula>"4 - Proficient"</formula>
    </cfRule>
    <cfRule type="cellIs" dxfId="362" priority="18" operator="equal">
      <formula>"3 - Competent"</formula>
    </cfRule>
    <cfRule type="cellIs" dxfId="361" priority="19" operator="equal">
      <formula>"2 - Developing"</formula>
    </cfRule>
    <cfRule type="cellIs" dxfId="360" priority="20" operator="equal">
      <formula>"1 - Basic"</formula>
    </cfRule>
  </conditionalFormatting>
  <conditionalFormatting sqref="H39:H43">
    <cfRule type="cellIs" dxfId="359" priority="11" operator="equal">
      <formula>"5 - Mastery"</formula>
    </cfRule>
    <cfRule type="cellIs" dxfId="358" priority="12" operator="equal">
      <formula>"4 - Proficient"</formula>
    </cfRule>
    <cfRule type="cellIs" dxfId="357" priority="13" operator="equal">
      <formula>"3 - Competent"</formula>
    </cfRule>
    <cfRule type="cellIs" dxfId="356" priority="14" operator="equal">
      <formula>"2 - Developing"</formula>
    </cfRule>
    <cfRule type="cellIs" dxfId="355" priority="15" operator="equal">
      <formula>"1 - Basic"</formula>
    </cfRule>
  </conditionalFormatting>
  <conditionalFormatting sqref="D46:D50">
    <cfRule type="cellIs" dxfId="354" priority="6" operator="equal">
      <formula>"5 - Mastery"</formula>
    </cfRule>
    <cfRule type="cellIs" dxfId="353" priority="7" operator="equal">
      <formula>"4 - Proficient"</formula>
    </cfRule>
    <cfRule type="cellIs" dxfId="352" priority="8" operator="equal">
      <formula>"3 - Competent"</formula>
    </cfRule>
    <cfRule type="cellIs" dxfId="351" priority="9" operator="equal">
      <formula>"2 - Developing"</formula>
    </cfRule>
    <cfRule type="cellIs" dxfId="350" priority="10" operator="equal">
      <formula>"1 - Basic"</formula>
    </cfRule>
  </conditionalFormatting>
  <conditionalFormatting sqref="H46:H50">
    <cfRule type="cellIs" dxfId="349" priority="1" operator="equal">
      <formula>"5 - Mastery"</formula>
    </cfRule>
    <cfRule type="cellIs" dxfId="348" priority="2" operator="equal">
      <formula>"4 - Proficient"</formula>
    </cfRule>
    <cfRule type="cellIs" dxfId="347" priority="3" operator="equal">
      <formula>"3 - Competent"</formula>
    </cfRule>
    <cfRule type="cellIs" dxfId="346" priority="4" operator="equal">
      <formula>"2 - Developing"</formula>
    </cfRule>
    <cfRule type="cellIs" dxfId="345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2B66D6-FAA6-484D-9DD9-7CAA75E57D0F}">
          <x14:formula1>
            <xm:f>Data!$B$2:$B$3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BCBB-9F91-4DBF-8ECC-F51404DE94E4}">
  <dimension ref="A1:E37"/>
  <sheetViews>
    <sheetView topLeftCell="A23" zoomScale="130" zoomScaleNormal="130" workbookViewId="0">
      <selection activeCell="B34" sqref="B34:E34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5" ht="28.85" customHeight="1" thickBot="1" x14ac:dyDescent="0.45">
      <c r="A1" s="40" t="s">
        <v>261</v>
      </c>
      <c r="B1" s="40"/>
      <c r="C1" s="40"/>
      <c r="D1" s="40"/>
      <c r="E1" s="40"/>
    </row>
    <row r="2" spans="1:5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5" s="3" customFormat="1" ht="29.6" customHeight="1" thickTop="1" x14ac:dyDescent="0.4">
      <c r="A3" s="18" t="str">
        <f>Data!A12</f>
        <v>Forehand</v>
      </c>
      <c r="B3" s="35" t="s">
        <v>259</v>
      </c>
      <c r="C3" s="35" t="s">
        <v>264</v>
      </c>
      <c r="D3" s="60" t="s">
        <v>290</v>
      </c>
      <c r="E3" s="59" t="s">
        <v>291</v>
      </c>
    </row>
    <row r="4" spans="1:5" ht="43.85" customHeight="1" x14ac:dyDescent="0.4">
      <c r="A4" s="4" t="s">
        <v>3</v>
      </c>
      <c r="B4" s="67"/>
      <c r="C4" s="67"/>
      <c r="D4" s="67"/>
      <c r="E4" s="68"/>
    </row>
    <row r="5" spans="1:5" x14ac:dyDescent="0.4">
      <c r="A5" s="33" t="s">
        <v>260</v>
      </c>
      <c r="B5" s="32"/>
      <c r="C5" s="32"/>
      <c r="D5" s="32" t="s">
        <v>266</v>
      </c>
      <c r="E5" s="34"/>
    </row>
    <row r="6" spans="1:5" ht="29.15" customHeight="1" thickBot="1" x14ac:dyDescent="0.45">
      <c r="A6" s="10" t="str">
        <f>IF(B3="Beginner",Data!B12,IF(B3="Intermediate",Data!C12,IF(B3="Advanced",Data!D12,"No Rating")))</f>
        <v>Generates pace and spin at will; precise placement; uses inside-out/inside-in variations strategically.</v>
      </c>
      <c r="B6" s="11"/>
      <c r="C6" s="11"/>
      <c r="D6" s="11" t="str">
        <f>IF(B3="Beginner",Data!C12,IF(B3="Intermediate",Data!D12,"No Rating"))</f>
        <v>No Rating</v>
      </c>
      <c r="E6" s="12"/>
    </row>
    <row r="7" spans="1:5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</row>
    <row r="8" spans="1:5" ht="29.6" customHeight="1" thickTop="1" x14ac:dyDescent="0.4">
      <c r="A8" s="8" t="str">
        <f>Data!A13</f>
        <v>Backhand</v>
      </c>
      <c r="B8" s="9" t="s">
        <v>259</v>
      </c>
      <c r="C8" s="9" t="s">
        <v>264</v>
      </c>
      <c r="D8" s="61"/>
      <c r="E8" s="62" t="s">
        <v>292</v>
      </c>
    </row>
    <row r="9" spans="1:5" ht="45.55" customHeight="1" x14ac:dyDescent="0.4">
      <c r="A9" s="4" t="s">
        <v>3</v>
      </c>
      <c r="B9" s="67"/>
      <c r="C9" s="67"/>
      <c r="D9" s="67"/>
      <c r="E9" s="68"/>
    </row>
    <row r="10" spans="1:5" x14ac:dyDescent="0.4">
      <c r="A10" s="33" t="s">
        <v>260</v>
      </c>
      <c r="B10" s="32"/>
      <c r="C10" s="32"/>
      <c r="D10" s="32" t="s">
        <v>266</v>
      </c>
      <c r="E10" s="34"/>
    </row>
    <row r="11" spans="1:5" ht="30.45" customHeight="1" thickBot="1" x14ac:dyDescent="0.45">
      <c r="A11" s="10" t="str">
        <f>IF(B8="Beginner",Data!B13,IF(B8="Intermediate",Data!C13,IF(B8="Advanced",Data!D13,"No Rating")))</f>
        <v>Offensive weapon; mixes drive and slice seamlessly; controls angles and depth.</v>
      </c>
      <c r="B11" s="11"/>
      <c r="C11" s="11"/>
      <c r="D11" s="11" t="str">
        <f>IF(B8="Beginner",Data!C13,IF(B8="Intermediate",Data!D13,"No Rating"))</f>
        <v>No Rating</v>
      </c>
      <c r="E11" s="12"/>
    </row>
    <row r="12" spans="1:5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5" ht="30" customHeight="1" thickTop="1" x14ac:dyDescent="0.4">
      <c r="A13" s="13" t="str">
        <f>Data!A14</f>
        <v>Serve</v>
      </c>
      <c r="B13" s="17" t="s">
        <v>259</v>
      </c>
      <c r="C13" s="17" t="s">
        <v>264</v>
      </c>
      <c r="D13" s="63" t="s">
        <v>293</v>
      </c>
      <c r="E13" s="64" t="s">
        <v>294</v>
      </c>
    </row>
    <row r="14" spans="1:5" ht="44.6" customHeight="1" x14ac:dyDescent="0.4">
      <c r="A14" s="4" t="s">
        <v>3</v>
      </c>
      <c r="B14" s="67" t="s">
        <v>295</v>
      </c>
      <c r="C14" s="67"/>
      <c r="D14" s="67"/>
      <c r="E14" s="68"/>
    </row>
    <row r="15" spans="1:5" x14ac:dyDescent="0.4">
      <c r="A15" s="33" t="s">
        <v>260</v>
      </c>
      <c r="B15" s="32"/>
      <c r="C15" s="32"/>
      <c r="D15" s="32" t="s">
        <v>266</v>
      </c>
      <c r="E15" s="34"/>
    </row>
    <row r="16" spans="1:5" ht="27.9" customHeight="1" thickBot="1" x14ac:dyDescent="0.45">
      <c r="A16" s="10" t="str">
        <f>IF(B13="Beginner",Data!B14,IF(B13="Intermediate",Data!C14,IF(B13="Advanced",Data!D14,"No Rating")))</f>
        <v>Variety of serves (flat, slice, kick); tactical placement; uses serve to set up points.</v>
      </c>
      <c r="B16" s="11"/>
      <c r="C16" s="11"/>
      <c r="D16" s="11" t="str">
        <f>IF(B13="Beginner",Data!C14,IF(B13="Intermediate",Data!D14,"No Rating"))</f>
        <v>No Rating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18" t="str">
        <f>Data!A15</f>
        <v>Volley</v>
      </c>
      <c r="B18" s="19" t="s">
        <v>259</v>
      </c>
      <c r="C18" s="19" t="s">
        <v>262</v>
      </c>
      <c r="D18" s="65"/>
      <c r="E18" s="66" t="s">
        <v>296</v>
      </c>
    </row>
    <row r="19" spans="1:5" ht="45.45" customHeight="1" x14ac:dyDescent="0.4">
      <c r="A19" s="4" t="s">
        <v>3</v>
      </c>
      <c r="B19" s="67" t="s">
        <v>297</v>
      </c>
      <c r="C19" s="67"/>
      <c r="D19" s="67"/>
      <c r="E19" s="68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IF(B18="Beginner",Data!B15,IF(B18="Intermediate",Data!C15,IF(B18="Advanced",Data!D15,"No Rating")))</f>
        <v>Confident at net; controls pace and placement; executes drop volleys and angled winners.</v>
      </c>
      <c r="B21" s="6"/>
      <c r="C21" s="6"/>
      <c r="D21" s="6" t="str">
        <f>IF(B18="Beginner",Data!C15,IF(B18="Intermediate",Data!D15,"No Rating"))</f>
        <v>No Rating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18" t="str">
        <f>Data!A16</f>
        <v>Overhead Smash</v>
      </c>
      <c r="B23" s="19" t="s">
        <v>259</v>
      </c>
      <c r="C23" s="19" t="s">
        <v>263</v>
      </c>
      <c r="D23" s="65"/>
      <c r="E23" s="66"/>
    </row>
    <row r="24" spans="1:5" ht="43.75" customHeight="1" x14ac:dyDescent="0.4">
      <c r="A24" s="4" t="s">
        <v>3</v>
      </c>
      <c r="B24" s="67"/>
      <c r="C24" s="67"/>
      <c r="D24" s="67"/>
      <c r="E24" s="68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IF(B23="Beginner",Data!B16,IF(B23="Intermediate",Data!C16,IF(B23="Advanced",Data!D16,"No Rating")))</f>
        <v>Aggressive, accurate overheads; can handle defensive situations and chase tough lobs.</v>
      </c>
      <c r="B26" s="11"/>
      <c r="C26" s="11"/>
      <c r="D26" s="11" t="str">
        <f>IF(B23="Beginner",Data!C16,IF(B23="Intermediate",Data!D16,"No Rating"))</f>
        <v>No Rating</v>
      </c>
      <c r="E26" s="12"/>
    </row>
    <row r="27" spans="1:5" ht="15.45" thickTop="1" thickBot="1" x14ac:dyDescent="0.45">
      <c r="A27" s="14" t="s">
        <v>272</v>
      </c>
      <c r="B27" s="15" t="s">
        <v>256</v>
      </c>
      <c r="C27" s="15" t="s">
        <v>0</v>
      </c>
      <c r="D27" s="15" t="s">
        <v>1</v>
      </c>
      <c r="E27" s="16" t="s">
        <v>2</v>
      </c>
    </row>
    <row r="28" spans="1:5" ht="29.25" customHeight="1" thickTop="1" x14ac:dyDescent="0.4">
      <c r="A28" s="18" t="str">
        <f>Data!A17</f>
        <v>Return of Serve</v>
      </c>
      <c r="B28" s="19" t="s">
        <v>259</v>
      </c>
      <c r="C28" s="19" t="s">
        <v>264</v>
      </c>
      <c r="D28" s="65"/>
      <c r="E28" s="66"/>
    </row>
    <row r="29" spans="1:5" ht="44.25" customHeight="1" x14ac:dyDescent="0.4">
      <c r="A29" s="4" t="s">
        <v>3</v>
      </c>
      <c r="B29" s="67" t="s">
        <v>298</v>
      </c>
      <c r="C29" s="67"/>
      <c r="D29" s="67"/>
      <c r="E29" s="68"/>
    </row>
    <row r="30" spans="1:5" x14ac:dyDescent="0.4">
      <c r="A30" s="33" t="s">
        <v>260</v>
      </c>
      <c r="B30" s="32"/>
      <c r="C30" s="32"/>
      <c r="D30" s="32" t="s">
        <v>266</v>
      </c>
      <c r="E30" s="34"/>
    </row>
    <row r="31" spans="1:5" ht="28.3" customHeight="1" thickBot="1" x14ac:dyDescent="0.45">
      <c r="A31" s="5" t="str">
        <f>IF(B28="Beginner",Data!B17,IF(B28="Intermediate",Data!C17,IF(B28="Advanced",Data!D17,"No Rating")))</f>
        <v>Turns returns into offensive shots; anticipates serve patterns; controls direction and spin.</v>
      </c>
      <c r="B31" s="6"/>
      <c r="C31" s="6"/>
      <c r="D31" s="6" t="str">
        <f>IF(B28="Beginner",Data!C17,IF(B28="Intermediate",Data!D17,"No Rating"))</f>
        <v>No Rating</v>
      </c>
      <c r="E31" s="7"/>
    </row>
    <row r="32" spans="1:5" ht="15.45" thickTop="1" thickBot="1" x14ac:dyDescent="0.45">
      <c r="A32" s="14" t="s">
        <v>272</v>
      </c>
      <c r="B32" s="15" t="s">
        <v>256</v>
      </c>
      <c r="C32" s="15" t="s">
        <v>0</v>
      </c>
      <c r="D32" s="15" t="s">
        <v>1</v>
      </c>
      <c r="E32" s="16" t="s">
        <v>2</v>
      </c>
    </row>
    <row r="33" spans="1:5" ht="29.6" customHeight="1" thickTop="1" x14ac:dyDescent="0.4">
      <c r="A33" s="18" t="str">
        <f>Data!A18</f>
        <v>Specialty Shots</v>
      </c>
      <c r="B33" s="19" t="s">
        <v>257</v>
      </c>
      <c r="C33" s="19" t="s">
        <v>262</v>
      </c>
      <c r="D33" s="65"/>
      <c r="E33" s="66"/>
    </row>
    <row r="34" spans="1:5" ht="44.25" customHeight="1" x14ac:dyDescent="0.4">
      <c r="A34" s="4" t="s">
        <v>3</v>
      </c>
      <c r="B34" s="67"/>
      <c r="C34" s="67"/>
      <c r="D34" s="67"/>
      <c r="E34" s="68"/>
    </row>
    <row r="35" spans="1:5" x14ac:dyDescent="0.4">
      <c r="A35" s="33" t="s">
        <v>260</v>
      </c>
      <c r="B35" s="32"/>
      <c r="C35" s="32"/>
      <c r="D35" s="32" t="s">
        <v>266</v>
      </c>
      <c r="E35" s="34"/>
    </row>
    <row r="36" spans="1:5" ht="29.25" customHeight="1" thickBot="1" x14ac:dyDescent="0.45">
      <c r="A36" s="10" t="str">
        <f>IF(B33="Beginner",Data!B18,IF(B33="Intermediate",Data!C18,IF(B33="Advanced",Data!D18,"No Rating")))</f>
        <v>Rarely attempted; inconsistent execution.</v>
      </c>
      <c r="B36" s="11"/>
      <c r="C36" s="11"/>
      <c r="D36" s="11" t="str">
        <f>IF(B33="Beginner",Data!C18,IF(B33="Intermediate",Data!D18,"No Rating"))</f>
        <v>Uses drop shots and lobs occasionally; moderate success.</v>
      </c>
      <c r="E36" s="12"/>
    </row>
    <row r="37" spans="1:5" ht="15" thickTop="1" x14ac:dyDescent="0.4"/>
  </sheetData>
  <mergeCells count="36">
    <mergeCell ref="A36:C36"/>
    <mergeCell ref="D36:E36"/>
    <mergeCell ref="A1:E1"/>
    <mergeCell ref="A30:C30"/>
    <mergeCell ref="D30:E30"/>
    <mergeCell ref="A31:C31"/>
    <mergeCell ref="D31:E31"/>
    <mergeCell ref="B34:E34"/>
    <mergeCell ref="A35:C35"/>
    <mergeCell ref="D35:E35"/>
    <mergeCell ref="B24:E24"/>
    <mergeCell ref="A25:C25"/>
    <mergeCell ref="D25:E25"/>
    <mergeCell ref="A26:C26"/>
    <mergeCell ref="D26:E26"/>
    <mergeCell ref="B29:E29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344" priority="31" operator="equal">
      <formula>"5 - Mastery"</formula>
    </cfRule>
    <cfRule type="cellIs" dxfId="343" priority="32" operator="equal">
      <formula>"4 - Proficient"</formula>
    </cfRule>
    <cfRule type="cellIs" dxfId="342" priority="33" operator="equal">
      <formula>"3 - Competent"</formula>
    </cfRule>
    <cfRule type="cellIs" dxfId="341" priority="34" operator="equal">
      <formula>"2 - Developing"</formula>
    </cfRule>
    <cfRule type="cellIs" dxfId="340" priority="35" operator="equal">
      <formula>"1 - Basic"</formula>
    </cfRule>
  </conditionalFormatting>
  <conditionalFormatting sqref="C13">
    <cfRule type="cellIs" dxfId="339" priority="26" operator="equal">
      <formula>"5 - Mastery"</formula>
    </cfRule>
    <cfRule type="cellIs" dxfId="338" priority="27" operator="equal">
      <formula>"4 - Proficient"</formula>
    </cfRule>
    <cfRule type="cellIs" dxfId="337" priority="28" operator="equal">
      <formula>"3 - Competent"</formula>
    </cfRule>
    <cfRule type="cellIs" dxfId="336" priority="29" operator="equal">
      <formula>"2 - Developing"</formula>
    </cfRule>
    <cfRule type="cellIs" dxfId="335" priority="30" operator="equal">
      <formula>"1 - Basic"</formula>
    </cfRule>
  </conditionalFormatting>
  <conditionalFormatting sqref="C18">
    <cfRule type="cellIs" dxfId="334" priority="21" operator="equal">
      <formula>"5 - Mastery"</formula>
    </cfRule>
    <cfRule type="cellIs" dxfId="333" priority="22" operator="equal">
      <formula>"4 - Proficient"</formula>
    </cfRule>
    <cfRule type="cellIs" dxfId="332" priority="23" operator="equal">
      <formula>"3 - Competent"</formula>
    </cfRule>
    <cfRule type="cellIs" dxfId="331" priority="24" operator="equal">
      <formula>"2 - Developing"</formula>
    </cfRule>
    <cfRule type="cellIs" dxfId="330" priority="25" operator="equal">
      <formula>"1 - Basic"</formula>
    </cfRule>
  </conditionalFormatting>
  <conditionalFormatting sqref="C8">
    <cfRule type="cellIs" dxfId="329" priority="16" operator="equal">
      <formula>"5 - Mastery"</formula>
    </cfRule>
    <cfRule type="cellIs" dxfId="328" priority="17" operator="equal">
      <formula>"4 - Proficient"</formula>
    </cfRule>
    <cfRule type="cellIs" dxfId="327" priority="18" operator="equal">
      <formula>"3 - Competent"</formula>
    </cfRule>
    <cfRule type="cellIs" dxfId="326" priority="19" operator="equal">
      <formula>"2 - Developing"</formula>
    </cfRule>
    <cfRule type="cellIs" dxfId="325" priority="20" operator="equal">
      <formula>"1 - Basic"</formula>
    </cfRule>
  </conditionalFormatting>
  <conditionalFormatting sqref="C23">
    <cfRule type="cellIs" dxfId="324" priority="11" operator="equal">
      <formula>"5 - Mastery"</formula>
    </cfRule>
    <cfRule type="cellIs" dxfId="323" priority="12" operator="equal">
      <formula>"4 - Proficient"</formula>
    </cfRule>
    <cfRule type="cellIs" dxfId="322" priority="13" operator="equal">
      <formula>"3 - Competent"</formula>
    </cfRule>
    <cfRule type="cellIs" dxfId="321" priority="14" operator="equal">
      <formula>"2 - Developing"</formula>
    </cfRule>
    <cfRule type="cellIs" dxfId="320" priority="15" operator="equal">
      <formula>"1 - Basic"</formula>
    </cfRule>
  </conditionalFormatting>
  <conditionalFormatting sqref="C28">
    <cfRule type="cellIs" dxfId="319" priority="6" operator="equal">
      <formula>"5 - Mastery"</formula>
    </cfRule>
    <cfRule type="cellIs" dxfId="318" priority="7" operator="equal">
      <formula>"4 - Proficient"</formula>
    </cfRule>
    <cfRule type="cellIs" dxfId="317" priority="8" operator="equal">
      <formula>"3 - Competent"</formula>
    </cfRule>
    <cfRule type="cellIs" dxfId="316" priority="9" operator="equal">
      <formula>"2 - Developing"</formula>
    </cfRule>
    <cfRule type="cellIs" dxfId="315" priority="10" operator="equal">
      <formula>"1 - Basic"</formula>
    </cfRule>
  </conditionalFormatting>
  <conditionalFormatting sqref="C33">
    <cfRule type="cellIs" dxfId="314" priority="1" operator="equal">
      <formula>"5 - Mastery"</formula>
    </cfRule>
    <cfRule type="cellIs" dxfId="313" priority="2" operator="equal">
      <formula>"4 - Proficient"</formula>
    </cfRule>
    <cfRule type="cellIs" dxfId="312" priority="3" operator="equal">
      <formula>"3 - Competent"</formula>
    </cfRule>
    <cfRule type="cellIs" dxfId="311" priority="4" operator="equal">
      <formula>"2 - Developing"</formula>
    </cfRule>
    <cfRule type="cellIs" dxfId="310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B793A0-8D57-42FE-AEE4-AF712C58B159}">
          <x14:formula1>
            <xm:f>Data!$D$2:$D$4</xm:f>
          </x14:formula1>
          <xm:sqref>B28 B3 B18 B8 B13 B23 B33</xm:sqref>
        </x14:dataValidation>
        <x14:dataValidation type="list" allowBlank="1" showInputMessage="1" showErrorMessage="1" xr:uid="{3B5DD319-C9B6-4909-BB3E-4111C201AC70}">
          <x14:formula1>
            <xm:f>Data!$A$2:$A$6</xm:f>
          </x14:formula1>
          <xm:sqref>C28 C3 C18 C8 C13 C23 C33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89FF-9155-4865-9259-514A4A4845FA}">
  <dimension ref="A1:G27"/>
  <sheetViews>
    <sheetView topLeftCell="A17" zoomScale="130" zoomScaleNormal="130" workbookViewId="0">
      <selection activeCell="C23" sqref="C23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7" ht="30" customHeight="1" thickBot="1" x14ac:dyDescent="0.45">
      <c r="A1" s="40" t="s">
        <v>270</v>
      </c>
      <c r="B1" s="40"/>
      <c r="C1" s="40"/>
      <c r="D1" s="40"/>
      <c r="E1" s="40"/>
    </row>
    <row r="2" spans="1:7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7" s="3" customFormat="1" ht="29.6" customHeight="1" thickTop="1" x14ac:dyDescent="0.4">
      <c r="A3" s="18" t="str">
        <f>Data!A21</f>
        <v>Shot Selection</v>
      </c>
      <c r="B3" s="35" t="s">
        <v>259</v>
      </c>
      <c r="C3" s="35" t="s">
        <v>264</v>
      </c>
      <c r="D3" s="36"/>
      <c r="E3" s="37"/>
      <c r="G3" t="s">
        <v>95</v>
      </c>
    </row>
    <row r="4" spans="1:7" ht="43.85" customHeight="1" x14ac:dyDescent="0.4">
      <c r="A4" s="4" t="s">
        <v>3</v>
      </c>
      <c r="B4" s="21"/>
      <c r="C4" s="21"/>
      <c r="D4" s="21"/>
      <c r="E4" s="22"/>
      <c r="G4" t="s">
        <v>96</v>
      </c>
    </row>
    <row r="5" spans="1:7" x14ac:dyDescent="0.4">
      <c r="A5" s="33" t="s">
        <v>260</v>
      </c>
      <c r="B5" s="32"/>
      <c r="C5" s="32"/>
      <c r="D5" s="32" t="s">
        <v>266</v>
      </c>
      <c r="E5" s="34"/>
      <c r="G5" t="s">
        <v>97</v>
      </c>
    </row>
    <row r="6" spans="1:7" ht="29.15" customHeight="1" thickBot="1" x14ac:dyDescent="0.45">
      <c r="A6" s="10" t="str">
        <f>IF(B3="Beginner",Data!B42,IF(B3="Intermediate",Data!C42,IF(B3="Advanced",Data!D42,"No Rating")))</f>
        <v>Powerful, accurate first serve with tactical placement.</v>
      </c>
      <c r="B6" s="11"/>
      <c r="C6" s="11"/>
      <c r="D6" s="11" t="str">
        <f>IF(B3="Beginner",Data!C42,IF(B3="Intermediate",Data!D42,"No Rating"))</f>
        <v>No Rating</v>
      </c>
      <c r="E6" s="12"/>
      <c r="G6" t="s">
        <v>98</v>
      </c>
    </row>
    <row r="7" spans="1:7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  <c r="G7" t="s">
        <v>99</v>
      </c>
    </row>
    <row r="8" spans="1:7" ht="29.6" customHeight="1" thickTop="1" x14ac:dyDescent="0.4">
      <c r="A8" s="8" t="str">
        <f>Data!A43</f>
        <v>Second Serve Reliability</v>
      </c>
      <c r="B8" s="9" t="s">
        <v>259</v>
      </c>
      <c r="C8" s="9" t="s">
        <v>264</v>
      </c>
      <c r="D8" s="23"/>
      <c r="E8" s="24"/>
    </row>
    <row r="9" spans="1:7" ht="45.55" customHeight="1" x14ac:dyDescent="0.4">
      <c r="A9" s="4" t="s">
        <v>3</v>
      </c>
      <c r="B9" s="21"/>
      <c r="C9" s="21"/>
      <c r="D9" s="21"/>
      <c r="E9" s="22"/>
    </row>
    <row r="10" spans="1:7" x14ac:dyDescent="0.4">
      <c r="A10" s="33" t="s">
        <v>260</v>
      </c>
      <c r="B10" s="32"/>
      <c r="C10" s="32"/>
      <c r="D10" s="32" t="s">
        <v>266</v>
      </c>
      <c r="E10" s="34"/>
    </row>
    <row r="11" spans="1:7" ht="30.45" customHeight="1" thickBot="1" x14ac:dyDescent="0.45">
      <c r="A11" s="10" t="str">
        <f>IF(B8="Beginner",Data!B43,IF(B8="Intermediate",Data!C43,IF(B8="Advanced",Data!D43,"No Rating")))</f>
        <v>Confident, consistent second serve under pressure.</v>
      </c>
      <c r="B11" s="11"/>
      <c r="C11" s="11"/>
      <c r="D11" s="11" t="str">
        <f>IF(B8="Beginner",Data!C43,IF(B8="Intermediate",Data!D43,"No Rating"))</f>
        <v>No Rating</v>
      </c>
      <c r="E11" s="12"/>
    </row>
    <row r="12" spans="1:7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7" ht="30" customHeight="1" thickTop="1" x14ac:dyDescent="0.4">
      <c r="A13" s="13" t="str">
        <f>Data!A44</f>
        <v>Serve Variation</v>
      </c>
      <c r="B13" s="17" t="s">
        <v>259</v>
      </c>
      <c r="C13" s="17" t="s">
        <v>264</v>
      </c>
      <c r="D13" s="25"/>
      <c r="E13" s="26"/>
    </row>
    <row r="14" spans="1:7" ht="44.6" customHeight="1" x14ac:dyDescent="0.4">
      <c r="A14" s="4" t="s">
        <v>3</v>
      </c>
      <c r="B14" s="21"/>
      <c r="C14" s="21"/>
      <c r="D14" s="21"/>
      <c r="E14" s="22"/>
    </row>
    <row r="15" spans="1:7" x14ac:dyDescent="0.4">
      <c r="A15" s="33" t="s">
        <v>260</v>
      </c>
      <c r="B15" s="32"/>
      <c r="C15" s="32"/>
      <c r="D15" s="32" t="s">
        <v>266</v>
      </c>
      <c r="E15" s="34"/>
    </row>
    <row r="16" spans="1:7" ht="27.9" customHeight="1" thickBot="1" x14ac:dyDescent="0.45">
      <c r="A16" s="10" t="str">
        <f>IF(B13="Beginner",Data!B44,IF(B13="Intermediate",Data!C44,IF(B13="Advanced",Data!D44,"No Rating")))</f>
        <v>Regularly mixes spin, speed, and placement.</v>
      </c>
      <c r="B16" s="11"/>
      <c r="C16" s="11"/>
      <c r="D16" s="11" t="str">
        <f>IF(B13="Beginner",Data!C44,IF(B13="Intermediate",Data!D44,"No Rating"))</f>
        <v>No Rating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Data!A45</f>
        <v>Return Positioning</v>
      </c>
      <c r="B18" s="19" t="s">
        <v>259</v>
      </c>
      <c r="C18" s="19" t="s">
        <v>264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IF(B18="Beginner",Data!B45,IF(B18="Intermediate",Data!C45,IF(B18="Advanced",Data!D45,"No Rating")))</f>
        <v>Proactively positions based on server tendencies.</v>
      </c>
      <c r="B21" s="6"/>
      <c r="C21" s="6"/>
      <c r="D21" s="6" t="str">
        <f>IF(B18="Beginner",Data!C45,IF(B18="Intermediate",Data!D45,"No Rating"))</f>
        <v>No Rating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38" t="str">
        <f>Data!A46</f>
        <v>Return Strategies</v>
      </c>
      <c r="B23" s="19" t="s">
        <v>259</v>
      </c>
      <c r="C23" s="19" t="s">
        <v>264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IF(B23="Beginner",Data!B46,IF(B23="Intermediate",Data!C46,IF(B23="Advanced",Data!D46,"No Rating")))</f>
        <v>Aggressively redirects or counterattacks serve.</v>
      </c>
      <c r="B26" s="11"/>
      <c r="C26" s="11"/>
      <c r="D26" s="11" t="str">
        <f>IF(B23="Beginner",Data!C46,IF(B23="Intermediate",Data!D46,"No Rating"))</f>
        <v>No Rating</v>
      </c>
      <c r="E26" s="12"/>
    </row>
    <row r="27" spans="1:5" ht="15" thickTop="1" x14ac:dyDescent="0.4"/>
  </sheetData>
  <mergeCells count="26">
    <mergeCell ref="B24:E24"/>
    <mergeCell ref="A25:C25"/>
    <mergeCell ref="D25:E25"/>
    <mergeCell ref="A26:C26"/>
    <mergeCell ref="D26:E26"/>
    <mergeCell ref="A1:E1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309" priority="21" operator="equal">
      <formula>"5 - Mastery"</formula>
    </cfRule>
    <cfRule type="cellIs" dxfId="308" priority="22" operator="equal">
      <formula>"4 - Proficient"</formula>
    </cfRule>
    <cfRule type="cellIs" dxfId="307" priority="23" operator="equal">
      <formula>"3 - Competent"</formula>
    </cfRule>
    <cfRule type="cellIs" dxfId="306" priority="24" operator="equal">
      <formula>"2 - Developing"</formula>
    </cfRule>
    <cfRule type="cellIs" dxfId="305" priority="25" operator="equal">
      <formula>"1 - Basic"</formula>
    </cfRule>
  </conditionalFormatting>
  <conditionalFormatting sqref="C13">
    <cfRule type="cellIs" dxfId="304" priority="16" operator="equal">
      <formula>"5 - Mastery"</formula>
    </cfRule>
    <cfRule type="cellIs" dxfId="303" priority="17" operator="equal">
      <formula>"4 - Proficient"</formula>
    </cfRule>
    <cfRule type="cellIs" dxfId="302" priority="18" operator="equal">
      <formula>"3 - Competent"</formula>
    </cfRule>
    <cfRule type="cellIs" dxfId="301" priority="19" operator="equal">
      <formula>"2 - Developing"</formula>
    </cfRule>
    <cfRule type="cellIs" dxfId="300" priority="20" operator="equal">
      <formula>"1 - Basic"</formula>
    </cfRule>
  </conditionalFormatting>
  <conditionalFormatting sqref="C18">
    <cfRule type="cellIs" dxfId="299" priority="11" operator="equal">
      <formula>"5 - Mastery"</formula>
    </cfRule>
    <cfRule type="cellIs" dxfId="298" priority="12" operator="equal">
      <formula>"4 - Proficient"</formula>
    </cfRule>
    <cfRule type="cellIs" dxfId="297" priority="13" operator="equal">
      <formula>"3 - Competent"</formula>
    </cfRule>
    <cfRule type="cellIs" dxfId="296" priority="14" operator="equal">
      <formula>"2 - Developing"</formula>
    </cfRule>
    <cfRule type="cellIs" dxfId="295" priority="15" operator="equal">
      <formula>"1 - Basic"</formula>
    </cfRule>
  </conditionalFormatting>
  <conditionalFormatting sqref="C8">
    <cfRule type="cellIs" dxfId="294" priority="6" operator="equal">
      <formula>"5 - Mastery"</formula>
    </cfRule>
    <cfRule type="cellIs" dxfId="293" priority="7" operator="equal">
      <formula>"4 - Proficient"</formula>
    </cfRule>
    <cfRule type="cellIs" dxfId="292" priority="8" operator="equal">
      <formula>"3 - Competent"</formula>
    </cfRule>
    <cfRule type="cellIs" dxfId="291" priority="9" operator="equal">
      <formula>"2 - Developing"</formula>
    </cfRule>
    <cfRule type="cellIs" dxfId="290" priority="10" operator="equal">
      <formula>"1 - Basic"</formula>
    </cfRule>
  </conditionalFormatting>
  <conditionalFormatting sqref="C23">
    <cfRule type="cellIs" dxfId="289" priority="1" operator="equal">
      <formula>"5 - Mastery"</formula>
    </cfRule>
    <cfRule type="cellIs" dxfId="288" priority="2" operator="equal">
      <formula>"4 - Proficient"</formula>
    </cfRule>
    <cfRule type="cellIs" dxfId="287" priority="3" operator="equal">
      <formula>"3 - Competent"</formula>
    </cfRule>
    <cfRule type="cellIs" dxfId="286" priority="4" operator="equal">
      <formula>"2 - Developing"</formula>
    </cfRule>
    <cfRule type="cellIs" dxfId="285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DF8198-974D-49C5-BE61-FEB3AB863F56}">
          <x14:formula1>
            <xm:f>Data!$D$2:$D$4</xm:f>
          </x14:formula1>
          <xm:sqref>B3 B18 B8 B13 B23</xm:sqref>
        </x14:dataValidation>
        <x14:dataValidation type="list" allowBlank="1" showInputMessage="1" showErrorMessage="1" xr:uid="{55A2E2DF-B6A5-4868-9232-75DA7AAC9240}">
          <x14:formula1>
            <xm:f>Data!$A$2:$A$6</xm:f>
          </x14:formula1>
          <xm:sqref>C3 C18 C8 C13 C23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CD8D-0F9E-4323-A2C2-2CB1C0A41463}">
  <dimension ref="A1:G27"/>
  <sheetViews>
    <sheetView topLeftCell="A15" zoomScale="130" zoomScaleNormal="130" workbookViewId="0">
      <selection activeCell="C23" sqref="C23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7" ht="30" customHeight="1" thickBot="1" x14ac:dyDescent="0.45">
      <c r="A1" s="40" t="s">
        <v>269</v>
      </c>
      <c r="B1" s="40"/>
      <c r="C1" s="40"/>
      <c r="D1" s="40"/>
      <c r="E1" s="40"/>
    </row>
    <row r="2" spans="1:7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7" s="3" customFormat="1" ht="29.6" customHeight="1" thickTop="1" x14ac:dyDescent="0.4">
      <c r="A3" s="18" t="str">
        <f>Data!A35</f>
        <v>Split-step Timing</v>
      </c>
      <c r="B3" s="35" t="s">
        <v>258</v>
      </c>
      <c r="C3" s="35" t="s">
        <v>263</v>
      </c>
      <c r="D3" s="36"/>
      <c r="E3" s="37"/>
      <c r="G3"/>
    </row>
    <row r="4" spans="1:7" ht="43.85" customHeight="1" x14ac:dyDescent="0.4">
      <c r="A4" s="4" t="s">
        <v>3</v>
      </c>
      <c r="B4" s="21"/>
      <c r="C4" s="21"/>
      <c r="D4" s="21"/>
      <c r="E4" s="22"/>
    </row>
    <row r="5" spans="1:7" x14ac:dyDescent="0.4">
      <c r="A5" s="33" t="s">
        <v>260</v>
      </c>
      <c r="B5" s="32"/>
      <c r="C5" s="32"/>
      <c r="D5" s="32" t="s">
        <v>266</v>
      </c>
      <c r="E5" s="34"/>
    </row>
    <row r="6" spans="1:7" ht="29.15" customHeight="1" thickBot="1" x14ac:dyDescent="0.45">
      <c r="A6" s="10" t="str">
        <f>IF(B3="Beginner",Data!B35,IF(B3="Intermediate",Data!C35,IF(B3="Advanced",Data!D35,"No Rating")))</f>
        <v>Uses split-step inconsistently; improving timing.</v>
      </c>
      <c r="B6" s="11"/>
      <c r="C6" s="11"/>
      <c r="D6" s="11" t="str">
        <f>IF(B3="Beginner",Data!C35,IF(B3="Intermediate",Data!D35,"No Rating"))</f>
        <v>Consistent, well-timed split-step before every shot.</v>
      </c>
      <c r="E6" s="12"/>
    </row>
    <row r="7" spans="1:7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</row>
    <row r="8" spans="1:7" ht="29.6" customHeight="1" thickTop="1" x14ac:dyDescent="0.4">
      <c r="A8" s="8" t="str">
        <f>Data!A36</f>
        <v>Recovery Steps</v>
      </c>
      <c r="B8" s="9" t="s">
        <v>258</v>
      </c>
      <c r="C8" s="9" t="s">
        <v>263</v>
      </c>
      <c r="D8" s="23"/>
      <c r="E8" s="24"/>
    </row>
    <row r="9" spans="1:7" ht="45.55" customHeight="1" x14ac:dyDescent="0.4">
      <c r="A9" s="4" t="s">
        <v>3</v>
      </c>
      <c r="B9" s="21"/>
      <c r="C9" s="21"/>
      <c r="D9" s="21"/>
      <c r="E9" s="22"/>
    </row>
    <row r="10" spans="1:7" x14ac:dyDescent="0.4">
      <c r="A10" s="33" t="s">
        <v>260</v>
      </c>
      <c r="B10" s="32"/>
      <c r="C10" s="32"/>
      <c r="D10" s="32" t="s">
        <v>266</v>
      </c>
      <c r="E10" s="34"/>
    </row>
    <row r="11" spans="1:7" ht="30.45" customHeight="1" thickBot="1" x14ac:dyDescent="0.45">
      <c r="A11" s="10" t="str">
        <f>IF(B8="Beginner",Data!B36,IF(B8="Intermediate",Data!C36,IF(B8="Advanced",Data!D36,"No Rating")))</f>
        <v>Attempts recovery; sometimes late.</v>
      </c>
      <c r="B11" s="11"/>
      <c r="C11" s="11"/>
      <c r="D11" s="11" t="str">
        <f>IF(B8="Beginner",Data!C36,IF(B8="Intermediate",Data!D36,"No Rating"))</f>
        <v>Quick, efficient recovery to ready position.</v>
      </c>
      <c r="E11" s="12"/>
    </row>
    <row r="12" spans="1:7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7" ht="30" customHeight="1" thickTop="1" x14ac:dyDescent="0.4">
      <c r="A13" s="13" t="str">
        <f>Data!A37</f>
        <v>Lateral Movement</v>
      </c>
      <c r="B13" s="17" t="s">
        <v>258</v>
      </c>
      <c r="C13" s="17" t="s">
        <v>264</v>
      </c>
      <c r="D13" s="25"/>
      <c r="E13" s="26"/>
    </row>
    <row r="14" spans="1:7" ht="44.6" customHeight="1" x14ac:dyDescent="0.4">
      <c r="A14" s="4" t="s">
        <v>3</v>
      </c>
      <c r="B14" s="21"/>
      <c r="C14" s="21"/>
      <c r="D14" s="21"/>
      <c r="E14" s="22"/>
    </row>
    <row r="15" spans="1:7" x14ac:dyDescent="0.4">
      <c r="A15" s="33" t="s">
        <v>260</v>
      </c>
      <c r="B15" s="32"/>
      <c r="C15" s="32"/>
      <c r="D15" s="32" t="s">
        <v>266</v>
      </c>
      <c r="E15" s="34"/>
    </row>
    <row r="16" spans="1:7" ht="27.9" customHeight="1" thickBot="1" x14ac:dyDescent="0.45">
      <c r="A16" s="10" t="str">
        <f>IF(B13="Beginner",Data!B37,IF(B13="Intermediate",Data!C37,IF(B13="Advanced",Data!D37,"No Rating")))</f>
        <v>Covers baseline with moderate success.</v>
      </c>
      <c r="B16" s="11"/>
      <c r="C16" s="11"/>
      <c r="D16" s="11" t="str">
        <f>IF(B13="Beginner",Data!C37,IF(B13="Intermediate",Data!D37,"No Rating"))</f>
        <v>Excellent lateral speed and balance.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Data!A38</f>
        <v>Forward/Backward Movement</v>
      </c>
      <c r="B18" s="19" t="s">
        <v>258</v>
      </c>
      <c r="C18" s="19" t="s">
        <v>262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IF(B18="Beginner",Data!B38,IF(B18="Intermediate",Data!C38,IF(B18="Advanced",Data!D38,"No Rating")))</f>
        <v>Improved net approaches and drop shot retrieval.</v>
      </c>
      <c r="B21" s="6"/>
      <c r="C21" s="6"/>
      <c r="D21" s="6" t="str">
        <f>IF(B18="Beginner",Data!C38,IF(B18="Intermediate",Data!D38,"No Rating"))</f>
        <v>Explosive forward movement; quick recovery backward.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38" t="str">
        <f>Data!A39</f>
        <v>Balance and Posture</v>
      </c>
      <c r="B23" s="19" t="s">
        <v>258</v>
      </c>
      <c r="C23" s="19" t="s">
        <v>263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IF(B23="Beginner",Data!B39,IF(B23="Intermediate",Data!C39,IF(B23="Advanced",Data!D39,"No Rating")))</f>
        <v>Improved posture; fewer off-balance errors.</v>
      </c>
      <c r="B26" s="11"/>
      <c r="C26" s="11"/>
      <c r="D26" s="11" t="str">
        <f>IF(B23="Beginner",Data!C39,IF(B23="Intermediate",Data!D39,"No Rating"))</f>
        <v>Stable and balanced in all shot situations.</v>
      </c>
      <c r="E26" s="12"/>
    </row>
    <row r="27" spans="1:5" ht="15" thickTop="1" x14ac:dyDescent="0.4"/>
  </sheetData>
  <mergeCells count="26">
    <mergeCell ref="B24:E24"/>
    <mergeCell ref="A25:C25"/>
    <mergeCell ref="D25:E25"/>
    <mergeCell ref="A26:C26"/>
    <mergeCell ref="D26:E26"/>
    <mergeCell ref="A1:E1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284" priority="21" operator="equal">
      <formula>"5 - Mastery"</formula>
    </cfRule>
    <cfRule type="cellIs" dxfId="283" priority="22" operator="equal">
      <formula>"4 - Proficient"</formula>
    </cfRule>
    <cfRule type="cellIs" dxfId="282" priority="23" operator="equal">
      <formula>"3 - Competent"</formula>
    </cfRule>
    <cfRule type="cellIs" dxfId="281" priority="24" operator="equal">
      <formula>"2 - Developing"</formula>
    </cfRule>
    <cfRule type="cellIs" dxfId="280" priority="25" operator="equal">
      <formula>"1 - Basic"</formula>
    </cfRule>
  </conditionalFormatting>
  <conditionalFormatting sqref="C13">
    <cfRule type="cellIs" dxfId="279" priority="16" operator="equal">
      <formula>"5 - Mastery"</formula>
    </cfRule>
    <cfRule type="cellIs" dxfId="278" priority="17" operator="equal">
      <formula>"4 - Proficient"</formula>
    </cfRule>
    <cfRule type="cellIs" dxfId="277" priority="18" operator="equal">
      <formula>"3 - Competent"</formula>
    </cfRule>
    <cfRule type="cellIs" dxfId="276" priority="19" operator="equal">
      <formula>"2 - Developing"</formula>
    </cfRule>
    <cfRule type="cellIs" dxfId="275" priority="20" operator="equal">
      <formula>"1 - Basic"</formula>
    </cfRule>
  </conditionalFormatting>
  <conditionalFormatting sqref="C18">
    <cfRule type="cellIs" dxfId="274" priority="11" operator="equal">
      <formula>"5 - Mastery"</formula>
    </cfRule>
    <cfRule type="cellIs" dxfId="273" priority="12" operator="equal">
      <formula>"4 - Proficient"</formula>
    </cfRule>
    <cfRule type="cellIs" dxfId="272" priority="13" operator="equal">
      <formula>"3 - Competent"</formula>
    </cfRule>
    <cfRule type="cellIs" dxfId="271" priority="14" operator="equal">
      <formula>"2 - Developing"</formula>
    </cfRule>
    <cfRule type="cellIs" dxfId="270" priority="15" operator="equal">
      <formula>"1 - Basic"</formula>
    </cfRule>
  </conditionalFormatting>
  <conditionalFormatting sqref="C8">
    <cfRule type="cellIs" dxfId="269" priority="6" operator="equal">
      <formula>"5 - Mastery"</formula>
    </cfRule>
    <cfRule type="cellIs" dxfId="268" priority="7" operator="equal">
      <formula>"4 - Proficient"</formula>
    </cfRule>
    <cfRule type="cellIs" dxfId="267" priority="8" operator="equal">
      <formula>"3 - Competent"</formula>
    </cfRule>
    <cfRule type="cellIs" dxfId="266" priority="9" operator="equal">
      <formula>"2 - Developing"</formula>
    </cfRule>
    <cfRule type="cellIs" dxfId="265" priority="10" operator="equal">
      <formula>"1 - Basic"</formula>
    </cfRule>
  </conditionalFormatting>
  <conditionalFormatting sqref="C23">
    <cfRule type="cellIs" dxfId="264" priority="1" operator="equal">
      <formula>"5 - Mastery"</formula>
    </cfRule>
    <cfRule type="cellIs" dxfId="263" priority="2" operator="equal">
      <formula>"4 - Proficient"</formula>
    </cfRule>
    <cfRule type="cellIs" dxfId="262" priority="3" operator="equal">
      <formula>"3 - Competent"</formula>
    </cfRule>
    <cfRule type="cellIs" dxfId="261" priority="4" operator="equal">
      <formula>"2 - Developing"</formula>
    </cfRule>
    <cfRule type="cellIs" dxfId="260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AA93B06-4E33-4BD5-B313-B680CC4DEF5B}">
          <x14:formula1>
            <xm:f>Data!$A$2:$A$6</xm:f>
          </x14:formula1>
          <xm:sqref>C3 C18 C8 C13 C23</xm:sqref>
        </x14:dataValidation>
        <x14:dataValidation type="list" allowBlank="1" showInputMessage="1" showErrorMessage="1" xr:uid="{BE23B175-BE7A-4F98-BCED-DE7B74E0DB10}">
          <x14:formula1>
            <xm:f>Data!$D$2:$D$4</xm:f>
          </x14:formula1>
          <xm:sqref>B3 B18 B8 B13 B23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2983-81B5-453B-8127-9302D17AFD76}">
  <dimension ref="A1:E27"/>
  <sheetViews>
    <sheetView zoomScale="130" zoomScaleNormal="130" workbookViewId="0">
      <selection activeCell="B3" sqref="B3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5" ht="28.75" customHeight="1" thickBot="1" x14ac:dyDescent="0.45">
      <c r="A1" s="40" t="s">
        <v>267</v>
      </c>
      <c r="B1" s="40"/>
      <c r="C1" s="40"/>
      <c r="D1" s="40"/>
      <c r="E1" s="40"/>
    </row>
    <row r="2" spans="1:5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5" s="3" customFormat="1" ht="29.6" customHeight="1" thickTop="1" x14ac:dyDescent="0.4">
      <c r="A3" s="18" t="str">
        <f>Data!A21</f>
        <v>Shot Selection</v>
      </c>
      <c r="B3" s="35" t="s">
        <v>258</v>
      </c>
      <c r="C3" s="35" t="s">
        <v>264</v>
      </c>
      <c r="D3" s="36"/>
      <c r="E3" s="37"/>
    </row>
    <row r="4" spans="1:5" ht="43.85" customHeight="1" x14ac:dyDescent="0.4">
      <c r="A4" s="4" t="s">
        <v>3</v>
      </c>
      <c r="B4" s="21"/>
      <c r="C4" s="21"/>
      <c r="D4" s="21"/>
      <c r="E4" s="22"/>
    </row>
    <row r="5" spans="1:5" x14ac:dyDescent="0.4">
      <c r="A5" s="33" t="s">
        <v>260</v>
      </c>
      <c r="B5" s="32"/>
      <c r="C5" s="32"/>
      <c r="D5" s="32" t="s">
        <v>266</v>
      </c>
      <c r="E5" s="34"/>
    </row>
    <row r="6" spans="1:5" ht="29.15" customHeight="1" thickBot="1" x14ac:dyDescent="0.45">
      <c r="A6" s="10" t="str">
        <f>IF(B3="Beginner",Data!B21,IF(B3="Intermediate",Data!C21,IF(B3="Advanced",Data!D21,"No Rating")))</f>
        <v>Understands basic patterns; improving decision-making.</v>
      </c>
      <c r="B6" s="11"/>
      <c r="C6" s="11"/>
      <c r="D6" s="11" t="str">
        <f>IF(B3="Beginner",Data!C21,IF(B3="Intermediate",Data!D21,"No Rating"))</f>
        <v>Consistently chooses high-percentage shots; adapts to situations.</v>
      </c>
      <c r="E6" s="12"/>
    </row>
    <row r="7" spans="1:5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</row>
    <row r="8" spans="1:5" ht="29.6" customHeight="1" thickTop="1" x14ac:dyDescent="0.4">
      <c r="A8" s="8" t="str">
        <f>Data!A22</f>
        <v>Point Construction</v>
      </c>
      <c r="B8" s="9" t="s">
        <v>257</v>
      </c>
      <c r="C8" s="9" t="s">
        <v>271</v>
      </c>
      <c r="D8" s="23"/>
      <c r="E8" s="24"/>
    </row>
    <row r="9" spans="1:5" ht="45.55" customHeight="1" x14ac:dyDescent="0.4">
      <c r="A9" s="4" t="s">
        <v>3</v>
      </c>
      <c r="B9" s="21"/>
      <c r="C9" s="21"/>
      <c r="D9" s="21"/>
      <c r="E9" s="22"/>
    </row>
    <row r="10" spans="1:5" x14ac:dyDescent="0.4">
      <c r="A10" s="33" t="s">
        <v>260</v>
      </c>
      <c r="B10" s="32"/>
      <c r="C10" s="32"/>
      <c r="D10" s="32" t="s">
        <v>266</v>
      </c>
      <c r="E10" s="34"/>
    </row>
    <row r="11" spans="1:5" ht="30.45" customHeight="1" thickBot="1" x14ac:dyDescent="0.45">
      <c r="A11" s="10" t="str">
        <f>IF(B8="Beginner",Data!B22,IF(B8="Intermediate",Data!C22,IF(B8="Advanced",Data!D22,"No Rating")))</f>
        <v>Plays one-shot tennis; lacks planning.</v>
      </c>
      <c r="B11" s="11"/>
      <c r="C11" s="11"/>
      <c r="D11" s="11" t="str">
        <f>IF(B8="Beginner",Data!C22,IF(B8="Intermediate",Data!D22,"No Rating"))</f>
        <v>Attempts to build points; uses strengths occasionally.</v>
      </c>
      <c r="E11" s="12"/>
    </row>
    <row r="12" spans="1:5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5" ht="30" customHeight="1" thickTop="1" x14ac:dyDescent="0.4">
      <c r="A13" s="13" t="str">
        <f>Data!A23</f>
        <v>Adapting to Opponent</v>
      </c>
      <c r="B13" s="17" t="s">
        <v>257</v>
      </c>
      <c r="C13" s="17" t="s">
        <v>262</v>
      </c>
      <c r="D13" s="25"/>
      <c r="E13" s="26"/>
    </row>
    <row r="14" spans="1:5" ht="44.6" customHeight="1" x14ac:dyDescent="0.4">
      <c r="A14" s="4" t="s">
        <v>3</v>
      </c>
      <c r="B14" s="21"/>
      <c r="C14" s="21"/>
      <c r="D14" s="21"/>
      <c r="E14" s="22"/>
    </row>
    <row r="15" spans="1:5" x14ac:dyDescent="0.4">
      <c r="A15" s="33" t="s">
        <v>260</v>
      </c>
      <c r="B15" s="32"/>
      <c r="C15" s="32"/>
      <c r="D15" s="32" t="s">
        <v>266</v>
      </c>
      <c r="E15" s="34"/>
    </row>
    <row r="16" spans="1:5" ht="27.9" customHeight="1" thickBot="1" x14ac:dyDescent="0.45">
      <c r="A16" s="10" t="str">
        <f>IF(B13="Beginner",Data!B23,IF(B13="Intermediate",Data!C23,IF(B13="Advanced",Data!D23,"No Rating")))</f>
        <v>Plays same style regardless of opponent.</v>
      </c>
      <c r="B16" s="11"/>
      <c r="C16" s="11"/>
      <c r="D16" s="11" t="str">
        <f>IF(B13="Beginner",Data!C23,IF(B13="Intermediate",Data!D23,"No Rating"))</f>
        <v>Recognizes opponent tendencies; adjusts occasionally.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Data!A24</f>
        <v>Playing to Surfaces</v>
      </c>
      <c r="B18" s="19" t="s">
        <v>257</v>
      </c>
      <c r="C18" s="19" t="s">
        <v>262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IF(B18="Beginner",Data!B24,IF(B18="Intermediate",Data!C24,IF(B18="Advanced",Data!D24,"No Rating")))</f>
        <v>No adjustment to surface differences.</v>
      </c>
      <c r="B21" s="6"/>
      <c r="C21" s="6"/>
      <c r="D21" s="6" t="str">
        <f>IF(B18="Beginner",Data!C24,IF(B18="Intermediate",Data!D24,"No Rating"))</f>
        <v>Basic understanding of surface impact on play.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18" t="str">
        <f>Data!A25</f>
        <v>Doubles Tactics</v>
      </c>
      <c r="B23" s="19" t="s">
        <v>257</v>
      </c>
      <c r="C23" s="19" t="s">
        <v>262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IF(B23="Beginner",Data!B25,IF(B23="Intermediate",Data!C25,IF(B23="Advanced",Data!D25,"No Rating")))</f>
        <v>Limited understanding of positioning and roles.</v>
      </c>
      <c r="B26" s="11"/>
      <c r="C26" s="11"/>
      <c r="D26" s="11" t="str">
        <f>IF(B23="Beginner",Data!C25,IF(B23="Intermediate",Data!D25,"No Rating"))</f>
        <v>Understands basic formations and communication.</v>
      </c>
      <c r="E26" s="12"/>
    </row>
    <row r="27" spans="1:5" ht="15" thickTop="1" x14ac:dyDescent="0.4"/>
  </sheetData>
  <mergeCells count="26">
    <mergeCell ref="A1:E1"/>
    <mergeCell ref="B24:E24"/>
    <mergeCell ref="A25:C25"/>
    <mergeCell ref="D25:E25"/>
    <mergeCell ref="A26:C26"/>
    <mergeCell ref="D26:E26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259" priority="31" operator="equal">
      <formula>"5 - Mastery"</formula>
    </cfRule>
    <cfRule type="cellIs" dxfId="258" priority="32" operator="equal">
      <formula>"4 - Proficient"</formula>
    </cfRule>
    <cfRule type="cellIs" dxfId="257" priority="33" operator="equal">
      <formula>"3 - Competent"</formula>
    </cfRule>
    <cfRule type="cellIs" dxfId="256" priority="34" operator="equal">
      <formula>"2 - Developing"</formula>
    </cfRule>
    <cfRule type="cellIs" dxfId="255" priority="35" operator="equal">
      <formula>"1 - Basic"</formula>
    </cfRule>
  </conditionalFormatting>
  <conditionalFormatting sqref="C13">
    <cfRule type="cellIs" dxfId="254" priority="26" operator="equal">
      <formula>"5 - Mastery"</formula>
    </cfRule>
    <cfRule type="cellIs" dxfId="253" priority="27" operator="equal">
      <formula>"4 - Proficient"</formula>
    </cfRule>
    <cfRule type="cellIs" dxfId="252" priority="28" operator="equal">
      <formula>"3 - Competent"</formula>
    </cfRule>
    <cfRule type="cellIs" dxfId="251" priority="29" operator="equal">
      <formula>"2 - Developing"</formula>
    </cfRule>
    <cfRule type="cellIs" dxfId="250" priority="30" operator="equal">
      <formula>"1 - Basic"</formula>
    </cfRule>
  </conditionalFormatting>
  <conditionalFormatting sqref="C18">
    <cfRule type="cellIs" dxfId="249" priority="21" operator="equal">
      <formula>"5 - Mastery"</formula>
    </cfRule>
    <cfRule type="cellIs" dxfId="248" priority="22" operator="equal">
      <formula>"4 - Proficient"</formula>
    </cfRule>
    <cfRule type="cellIs" dxfId="247" priority="23" operator="equal">
      <formula>"3 - Competent"</formula>
    </cfRule>
    <cfRule type="cellIs" dxfId="246" priority="24" operator="equal">
      <formula>"2 - Developing"</formula>
    </cfRule>
    <cfRule type="cellIs" dxfId="245" priority="25" operator="equal">
      <formula>"1 - Basic"</formula>
    </cfRule>
  </conditionalFormatting>
  <conditionalFormatting sqref="C8">
    <cfRule type="cellIs" dxfId="244" priority="16" operator="equal">
      <formula>"5 - Mastery"</formula>
    </cfRule>
    <cfRule type="cellIs" dxfId="243" priority="17" operator="equal">
      <formula>"4 - Proficient"</formula>
    </cfRule>
    <cfRule type="cellIs" dxfId="242" priority="18" operator="equal">
      <formula>"3 - Competent"</formula>
    </cfRule>
    <cfRule type="cellIs" dxfId="241" priority="19" operator="equal">
      <formula>"2 - Developing"</formula>
    </cfRule>
    <cfRule type="cellIs" dxfId="240" priority="20" operator="equal">
      <formula>"1 - Basic"</formula>
    </cfRule>
  </conditionalFormatting>
  <conditionalFormatting sqref="C23">
    <cfRule type="cellIs" dxfId="239" priority="11" operator="equal">
      <formula>"5 - Mastery"</formula>
    </cfRule>
    <cfRule type="cellIs" dxfId="238" priority="12" operator="equal">
      <formula>"4 - Proficient"</formula>
    </cfRule>
    <cfRule type="cellIs" dxfId="237" priority="13" operator="equal">
      <formula>"3 - Competent"</formula>
    </cfRule>
    <cfRule type="cellIs" dxfId="236" priority="14" operator="equal">
      <formula>"2 - Developing"</formula>
    </cfRule>
    <cfRule type="cellIs" dxfId="235" priority="1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054A3A-8DAB-4218-A1E4-8E6ACBC23F40}">
          <x14:formula1>
            <xm:f>Data!$D$2:$D$4</xm:f>
          </x14:formula1>
          <xm:sqref>B3 B18 B8 B13 B23</xm:sqref>
        </x14:dataValidation>
        <x14:dataValidation type="list" allowBlank="1" showInputMessage="1" showErrorMessage="1" xr:uid="{27DA361F-EB56-4288-A2D5-7A58D60168D0}">
          <x14:formula1>
            <xm:f>Data!$A$2:$A$6</xm:f>
          </x14:formula1>
          <xm:sqref>C3 C18 C8 C13 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8757-60CF-45FD-B9C6-D9825B774B9C}">
  <dimension ref="A1:G27"/>
  <sheetViews>
    <sheetView zoomScale="130" zoomScaleNormal="130" workbookViewId="0">
      <selection activeCell="A3" sqref="A3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7" ht="30" customHeight="1" thickBot="1" x14ac:dyDescent="0.45">
      <c r="A1" s="40" t="s">
        <v>279</v>
      </c>
      <c r="B1" s="40"/>
      <c r="C1" s="40"/>
      <c r="D1" s="40"/>
      <c r="E1" s="40"/>
    </row>
    <row r="2" spans="1:7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7" s="3" customFormat="1" ht="29.6" customHeight="1" thickTop="1" x14ac:dyDescent="0.4">
      <c r="A3" s="18" t="str">
        <f>Data!A91</f>
        <v>Developing Spins</v>
      </c>
      <c r="B3" s="35" t="s">
        <v>257</v>
      </c>
      <c r="C3" s="35" t="s">
        <v>264</v>
      </c>
      <c r="D3" s="36"/>
      <c r="E3" s="37"/>
      <c r="G3" t="s">
        <v>95</v>
      </c>
    </row>
    <row r="4" spans="1:7" ht="43.85" customHeight="1" x14ac:dyDescent="0.4">
      <c r="A4" s="4" t="s">
        <v>3</v>
      </c>
      <c r="B4" s="21"/>
      <c r="C4" s="21"/>
      <c r="D4" s="21"/>
      <c r="E4" s="22"/>
      <c r="G4" t="s">
        <v>96</v>
      </c>
    </row>
    <row r="5" spans="1:7" x14ac:dyDescent="0.4">
      <c r="A5" s="33" t="s">
        <v>260</v>
      </c>
      <c r="B5" s="32"/>
      <c r="C5" s="32"/>
      <c r="D5" s="32" t="s">
        <v>266</v>
      </c>
      <c r="E5" s="34"/>
      <c r="G5" t="s">
        <v>97</v>
      </c>
    </row>
    <row r="6" spans="1:7" ht="29.15" customHeight="1" thickBot="1" x14ac:dyDescent="0.45">
      <c r="A6" s="10" t="str">
        <f>IF(B3="Beginner",Data!B91,IF(B3="Intermediate",Data!C91,IF(B3="Advanced",Data!D91,"No Rating")))</f>
        <v>Limited spin control.</v>
      </c>
      <c r="B6" s="11"/>
      <c r="C6" s="11"/>
      <c r="D6" s="11" t="str">
        <f>IF(B3="Beginner",Data!C91,IF(B3="Intermediate",Data!D91,"No Rating"))</f>
        <v>Uses topspin and slice occasionally.</v>
      </c>
      <c r="E6" s="12"/>
      <c r="G6" t="s">
        <v>98</v>
      </c>
    </row>
    <row r="7" spans="1:7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  <c r="G7" t="s">
        <v>99</v>
      </c>
    </row>
    <row r="8" spans="1:7" ht="29.6" customHeight="1" thickTop="1" x14ac:dyDescent="0.4">
      <c r="A8" s="8" t="str">
        <f>Data!A92</f>
        <v>Using Angles</v>
      </c>
      <c r="B8" s="9" t="s">
        <v>257</v>
      </c>
      <c r="C8" s="9" t="s">
        <v>271</v>
      </c>
      <c r="D8" s="23"/>
      <c r="E8" s="24"/>
    </row>
    <row r="9" spans="1:7" ht="45.55" customHeight="1" x14ac:dyDescent="0.4">
      <c r="A9" s="4" t="s">
        <v>3</v>
      </c>
      <c r="B9" s="21"/>
      <c r="C9" s="21"/>
      <c r="D9" s="21"/>
      <c r="E9" s="22"/>
    </row>
    <row r="10" spans="1:7" x14ac:dyDescent="0.4">
      <c r="A10" s="33" t="s">
        <v>260</v>
      </c>
      <c r="B10" s="32"/>
      <c r="C10" s="32"/>
      <c r="D10" s="32" t="s">
        <v>266</v>
      </c>
      <c r="E10" s="34"/>
    </row>
    <row r="11" spans="1:7" ht="30.45" customHeight="1" thickBot="1" x14ac:dyDescent="0.45">
      <c r="A11" s="10" t="str">
        <f>IF(B8="Beginner",Data!B92,IF(B8="Intermediate",Data!C92,IF(B8="Advanced",Data!D92,"No Rating")))</f>
        <v>Plays mostly down the middle.</v>
      </c>
      <c r="B11" s="11"/>
      <c r="C11" s="11"/>
      <c r="D11" s="11" t="str">
        <f>IF(B8="Beginner",Data!C92,IF(B8="Intermediate",Data!D92,"No Rating"))</f>
        <v>Attempts cross-court angles.</v>
      </c>
      <c r="E11" s="12"/>
    </row>
    <row r="12" spans="1:7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7" ht="30" customHeight="1" thickTop="1" x14ac:dyDescent="0.4">
      <c r="A13" s="13" t="str">
        <f>Data!A93</f>
        <v>Improvisation</v>
      </c>
      <c r="B13" s="17" t="s">
        <v>257</v>
      </c>
      <c r="C13" s="17" t="s">
        <v>262</v>
      </c>
      <c r="D13" s="25"/>
      <c r="E13" s="26"/>
    </row>
    <row r="14" spans="1:7" ht="44.6" customHeight="1" x14ac:dyDescent="0.4">
      <c r="A14" s="4" t="s">
        <v>3</v>
      </c>
      <c r="B14" s="21"/>
      <c r="C14" s="21"/>
      <c r="D14" s="21"/>
      <c r="E14" s="22"/>
    </row>
    <row r="15" spans="1:7" x14ac:dyDescent="0.4">
      <c r="A15" s="33" t="s">
        <v>260</v>
      </c>
      <c r="B15" s="32"/>
      <c r="C15" s="32"/>
      <c r="D15" s="32" t="s">
        <v>266</v>
      </c>
      <c r="E15" s="34"/>
    </row>
    <row r="16" spans="1:7" ht="27.9" customHeight="1" thickBot="1" x14ac:dyDescent="0.45">
      <c r="A16" s="10" t="str">
        <f>IF(B13="Beginner",Data!B93,IF(B13="Intermediate",Data!C93,IF(B13="Advanced",Data!D93,"No Rating")))</f>
        <v>Struggles outside structured play.</v>
      </c>
      <c r="B16" s="11"/>
      <c r="C16" s="11"/>
      <c r="D16" s="11" t="str">
        <f>IF(B13="Beginner",Data!C93,IF(B13="Intermediate",Data!D93,"No Rating"))</f>
        <v>Occasionally improvises under pressure.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Data!A94</f>
        <v>Trick Shots</v>
      </c>
      <c r="B18" s="19" t="s">
        <v>257</v>
      </c>
      <c r="C18" s="19" t="s">
        <v>262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IF(B18="Beginner",Data!B94,IF(B18="Intermediate",Data!C94,IF(B18="Advanced",Data!D94,"No Rating")))</f>
        <v>Avoids or misuses trick shots.</v>
      </c>
      <c r="B21" s="6"/>
      <c r="C21" s="6"/>
      <c r="D21" s="6" t="str">
        <f>IF(B18="Beginner",Data!C94,IF(B18="Intermediate",Data!D94,"No Rating"))</f>
        <v>Uses for fun or surprise.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38" t="str">
        <f>Data!A95</f>
        <v>Variety in Rally Play</v>
      </c>
      <c r="B23" s="19" t="s">
        <v>257</v>
      </c>
      <c r="C23" s="19" t="s">
        <v>262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IF(B23="Beginner",Data!B95,IF(B23="Intermediate",Data!C95,IF(B23="Advanced",Data!D95,"No Rating")))</f>
        <v>One-dimensional rallies.</v>
      </c>
      <c r="B26" s="11"/>
      <c r="C26" s="11"/>
      <c r="D26" s="11" t="str">
        <f>IF(B23="Beginner",Data!C95,IF(B23="Intermediate",Data!D95,"No Rating"))</f>
        <v>Mixes pace and direction occasionally.</v>
      </c>
      <c r="E26" s="12"/>
    </row>
    <row r="27" spans="1:5" ht="15" thickTop="1" x14ac:dyDescent="0.4"/>
  </sheetData>
  <mergeCells count="26">
    <mergeCell ref="B24:E24"/>
    <mergeCell ref="A25:C25"/>
    <mergeCell ref="D25:E25"/>
    <mergeCell ref="A26:C26"/>
    <mergeCell ref="D26:E26"/>
    <mergeCell ref="A1:E1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234" priority="21" operator="equal">
      <formula>"5 - Mastery"</formula>
    </cfRule>
    <cfRule type="cellIs" dxfId="233" priority="22" operator="equal">
      <formula>"4 - Proficient"</formula>
    </cfRule>
    <cfRule type="cellIs" dxfId="232" priority="23" operator="equal">
      <formula>"3 - Competent"</formula>
    </cfRule>
    <cfRule type="cellIs" dxfId="231" priority="24" operator="equal">
      <formula>"2 - Developing"</formula>
    </cfRule>
    <cfRule type="cellIs" dxfId="230" priority="25" operator="equal">
      <formula>"1 - Basic"</formula>
    </cfRule>
  </conditionalFormatting>
  <conditionalFormatting sqref="C13">
    <cfRule type="cellIs" dxfId="229" priority="16" operator="equal">
      <formula>"5 - Mastery"</formula>
    </cfRule>
    <cfRule type="cellIs" dxfId="228" priority="17" operator="equal">
      <formula>"4 - Proficient"</formula>
    </cfRule>
    <cfRule type="cellIs" dxfId="227" priority="18" operator="equal">
      <formula>"3 - Competent"</formula>
    </cfRule>
    <cfRule type="cellIs" dxfId="226" priority="19" operator="equal">
      <formula>"2 - Developing"</formula>
    </cfRule>
    <cfRule type="cellIs" dxfId="225" priority="20" operator="equal">
      <formula>"1 - Basic"</formula>
    </cfRule>
  </conditionalFormatting>
  <conditionalFormatting sqref="C18">
    <cfRule type="cellIs" dxfId="224" priority="11" operator="equal">
      <formula>"5 - Mastery"</formula>
    </cfRule>
    <cfRule type="cellIs" dxfId="223" priority="12" operator="equal">
      <formula>"4 - Proficient"</formula>
    </cfRule>
    <cfRule type="cellIs" dxfId="222" priority="13" operator="equal">
      <formula>"3 - Competent"</formula>
    </cfRule>
    <cfRule type="cellIs" dxfId="221" priority="14" operator="equal">
      <formula>"2 - Developing"</formula>
    </cfRule>
    <cfRule type="cellIs" dxfId="220" priority="15" operator="equal">
      <formula>"1 - Basic"</formula>
    </cfRule>
  </conditionalFormatting>
  <conditionalFormatting sqref="C8">
    <cfRule type="cellIs" dxfId="219" priority="6" operator="equal">
      <formula>"5 - Mastery"</formula>
    </cfRule>
    <cfRule type="cellIs" dxfId="218" priority="7" operator="equal">
      <formula>"4 - Proficient"</formula>
    </cfRule>
    <cfRule type="cellIs" dxfId="217" priority="8" operator="equal">
      <formula>"3 - Competent"</formula>
    </cfRule>
    <cfRule type="cellIs" dxfId="216" priority="9" operator="equal">
      <formula>"2 - Developing"</formula>
    </cfRule>
    <cfRule type="cellIs" dxfId="215" priority="10" operator="equal">
      <formula>"1 - Basic"</formula>
    </cfRule>
  </conditionalFormatting>
  <conditionalFormatting sqref="C23">
    <cfRule type="cellIs" dxfId="214" priority="1" operator="equal">
      <formula>"5 - Mastery"</formula>
    </cfRule>
    <cfRule type="cellIs" dxfId="213" priority="2" operator="equal">
      <formula>"4 - Proficient"</formula>
    </cfRule>
    <cfRule type="cellIs" dxfId="212" priority="3" operator="equal">
      <formula>"3 - Competent"</formula>
    </cfRule>
    <cfRule type="cellIs" dxfId="211" priority="4" operator="equal">
      <formula>"2 - Developing"</formula>
    </cfRule>
    <cfRule type="cellIs" dxfId="210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35F81F-E96C-4586-9140-F9DAFF33C107}">
          <x14:formula1>
            <xm:f>Data!$A$2:$A$6</xm:f>
          </x14:formula1>
          <xm:sqref>C3 C18 C8 C13 C23</xm:sqref>
        </x14:dataValidation>
        <x14:dataValidation type="list" allowBlank="1" showInputMessage="1" showErrorMessage="1" xr:uid="{1E93979B-51DB-4445-8700-33CC9414C488}">
          <x14:formula1>
            <xm:f>Data!$D$2:$D$4</xm:f>
          </x14:formula1>
          <xm:sqref>B3 B18 B8 B13 B23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4192-4699-470B-82AC-FCE7747E527C}">
  <dimension ref="A1:G27"/>
  <sheetViews>
    <sheetView zoomScale="130" zoomScaleNormal="130" workbookViewId="0">
      <selection activeCell="A3" sqref="A3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7" ht="30" customHeight="1" thickBot="1" x14ac:dyDescent="0.45">
      <c r="A1" s="40" t="s">
        <v>274</v>
      </c>
      <c r="B1" s="40"/>
      <c r="C1" s="40"/>
      <c r="D1" s="40"/>
      <c r="E1" s="40"/>
    </row>
    <row r="2" spans="1:7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7" s="3" customFormat="1" ht="29.6" customHeight="1" thickTop="1" x14ac:dyDescent="0.4">
      <c r="A3" s="18" t="str">
        <f>Data!A56</f>
        <v>Pre-match Planning</v>
      </c>
      <c r="B3" s="35" t="s">
        <v>257</v>
      </c>
      <c r="C3" s="35" t="s">
        <v>264</v>
      </c>
      <c r="D3" s="36"/>
      <c r="E3" s="37"/>
      <c r="G3" t="s">
        <v>95</v>
      </c>
    </row>
    <row r="4" spans="1:7" ht="43.85" customHeight="1" x14ac:dyDescent="0.4">
      <c r="A4" s="4" t="s">
        <v>3</v>
      </c>
      <c r="B4" s="21"/>
      <c r="C4" s="21"/>
      <c r="D4" s="21"/>
      <c r="E4" s="22"/>
      <c r="G4" t="s">
        <v>96</v>
      </c>
    </row>
    <row r="5" spans="1:7" x14ac:dyDescent="0.4">
      <c r="A5" s="33" t="s">
        <v>260</v>
      </c>
      <c r="B5" s="32"/>
      <c r="C5" s="32"/>
      <c r="D5" s="32" t="s">
        <v>266</v>
      </c>
      <c r="E5" s="34"/>
      <c r="G5" t="s">
        <v>97</v>
      </c>
    </row>
    <row r="6" spans="1:7" ht="29.15" customHeight="1" thickBot="1" x14ac:dyDescent="0.45">
      <c r="A6" s="10" t="str">
        <f>IF(B3="Beginner",Data!B56,IF(B3="Intermediate",Data!C56,IF(B3="Advanced",Data!D56,"No Rating")))</f>
        <v>No plan; relies on instinct.</v>
      </c>
      <c r="B6" s="11"/>
      <c r="C6" s="11"/>
      <c r="D6" s="11" t="str">
        <f>IF(B3="Beginner",Data!C56,IF(B3="Intermediate",Data!D56,"No Rating"))</f>
        <v>Basic plan based on past matches.</v>
      </c>
      <c r="E6" s="12"/>
      <c r="G6" t="s">
        <v>98</v>
      </c>
    </row>
    <row r="7" spans="1:7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  <c r="G7" t="s">
        <v>99</v>
      </c>
    </row>
    <row r="8" spans="1:7" ht="29.6" customHeight="1" thickTop="1" x14ac:dyDescent="0.4">
      <c r="A8" s="8" t="str">
        <f>Data!A57</f>
        <v>In-match Adjustments</v>
      </c>
      <c r="B8" s="9" t="s">
        <v>257</v>
      </c>
      <c r="C8" s="9" t="s">
        <v>271</v>
      </c>
      <c r="D8" s="23"/>
      <c r="E8" s="24"/>
    </row>
    <row r="9" spans="1:7" ht="45.55" customHeight="1" x14ac:dyDescent="0.4">
      <c r="A9" s="4" t="s">
        <v>3</v>
      </c>
      <c r="B9" s="21"/>
      <c r="C9" s="21"/>
      <c r="D9" s="21"/>
      <c r="E9" s="22"/>
    </row>
    <row r="10" spans="1:7" x14ac:dyDescent="0.4">
      <c r="A10" s="33" t="s">
        <v>260</v>
      </c>
      <c r="B10" s="32"/>
      <c r="C10" s="32"/>
      <c r="D10" s="32" t="s">
        <v>266</v>
      </c>
      <c r="E10" s="34"/>
    </row>
    <row r="11" spans="1:7" ht="30.45" customHeight="1" thickBot="1" x14ac:dyDescent="0.45">
      <c r="A11" s="10" t="str">
        <f>IF(B8="Beginner",Data!B57,IF(B8="Intermediate",Data!C57,IF(B8="Advanced",Data!D57,"No Rating")))</f>
        <v>Sticks to one strategy.</v>
      </c>
      <c r="B11" s="11"/>
      <c r="C11" s="11"/>
      <c r="D11" s="11" t="str">
        <f>IF(B8="Beginner",Data!C57,IF(B8="Intermediate",Data!D57,"No Rating"))</f>
        <v>Attempts adjustments when losing.</v>
      </c>
      <c r="E11" s="12"/>
    </row>
    <row r="12" spans="1:7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7" ht="30" customHeight="1" thickTop="1" x14ac:dyDescent="0.4">
      <c r="A13" s="13" t="str">
        <f>Data!A58</f>
        <v>Surface-specific Strategies</v>
      </c>
      <c r="B13" s="17" t="s">
        <v>257</v>
      </c>
      <c r="C13" s="17" t="s">
        <v>262</v>
      </c>
      <c r="D13" s="25"/>
      <c r="E13" s="26"/>
    </row>
    <row r="14" spans="1:7" ht="44.6" customHeight="1" x14ac:dyDescent="0.4">
      <c r="A14" s="4" t="s">
        <v>3</v>
      </c>
      <c r="B14" s="21"/>
      <c r="C14" s="21"/>
      <c r="D14" s="21"/>
      <c r="E14" s="22"/>
    </row>
    <row r="15" spans="1:7" x14ac:dyDescent="0.4">
      <c r="A15" s="33" t="s">
        <v>260</v>
      </c>
      <c r="B15" s="32"/>
      <c r="C15" s="32"/>
      <c r="D15" s="32" t="s">
        <v>266</v>
      </c>
      <c r="E15" s="34"/>
    </row>
    <row r="16" spans="1:7" ht="27.9" customHeight="1" thickBot="1" x14ac:dyDescent="0.45">
      <c r="A16" s="10" t="str">
        <f>IF(B13="Beginner",Data!B58,IF(B13="Intermediate",Data!C58,IF(B13="Advanced",Data!D58,"No Rating")))</f>
        <v>Same tactics on all surfaces.</v>
      </c>
      <c r="B16" s="11"/>
      <c r="C16" s="11"/>
      <c r="D16" s="11" t="str">
        <f>IF(B13="Beginner",Data!C58,IF(B13="Intermediate",Data!D58,"No Rating"))</f>
        <v>Adjusts slightly for surface.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Data!A59</f>
        <v>Singles vs Doubles Approaches</v>
      </c>
      <c r="B18" s="19" t="s">
        <v>257</v>
      </c>
      <c r="C18" s="19" t="s">
        <v>262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IF(B18="Beginner",Data!B59,IF(B18="Intermediate",Data!C59,IF(B18="Advanced",Data!D59,"No Rating")))</f>
        <v>Same style in both formats.</v>
      </c>
      <c r="B21" s="6"/>
      <c r="C21" s="6"/>
      <c r="D21" s="6" t="str">
        <f>IF(B18="Beginner",Data!C59,IF(B18="Intermediate",Data!D59,"No Rating"))</f>
        <v>Understands basic differences.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38" t="str">
        <f>Data!A60</f>
        <v>Closing Out Matches</v>
      </c>
      <c r="B23" s="19" t="s">
        <v>257</v>
      </c>
      <c r="C23" s="19" t="s">
        <v>262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IF(B23="Beginner",Data!B60,IF(B23="Intermediate",Data!C60,IF(B23="Advanced",Data!D60,"No Rating")))</f>
        <v>Struggles to finish matches.</v>
      </c>
      <c r="B26" s="11"/>
      <c r="C26" s="11"/>
      <c r="D26" s="11" t="str">
        <f>IF(B23="Beginner",Data!C60,IF(B23="Intermediate",Data!D60,"No Rating"))</f>
        <v>Can close with effort and focus.</v>
      </c>
      <c r="E26" s="12"/>
    </row>
    <row r="27" spans="1:5" ht="15" thickTop="1" x14ac:dyDescent="0.4"/>
  </sheetData>
  <mergeCells count="26">
    <mergeCell ref="A1:E1"/>
    <mergeCell ref="B24:E24"/>
    <mergeCell ref="A25:C25"/>
    <mergeCell ref="D25:E25"/>
    <mergeCell ref="A26:C26"/>
    <mergeCell ref="D26:E26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209" priority="21" operator="equal">
      <formula>"5 - Mastery"</formula>
    </cfRule>
    <cfRule type="cellIs" dxfId="208" priority="22" operator="equal">
      <formula>"4 - Proficient"</formula>
    </cfRule>
    <cfRule type="cellIs" dxfId="207" priority="23" operator="equal">
      <formula>"3 - Competent"</formula>
    </cfRule>
    <cfRule type="cellIs" dxfId="206" priority="24" operator="equal">
      <formula>"2 - Developing"</formula>
    </cfRule>
    <cfRule type="cellIs" dxfId="205" priority="25" operator="equal">
      <formula>"1 - Basic"</formula>
    </cfRule>
  </conditionalFormatting>
  <conditionalFormatting sqref="C13">
    <cfRule type="cellIs" dxfId="204" priority="16" operator="equal">
      <formula>"5 - Mastery"</formula>
    </cfRule>
    <cfRule type="cellIs" dxfId="203" priority="17" operator="equal">
      <formula>"4 - Proficient"</formula>
    </cfRule>
    <cfRule type="cellIs" dxfId="202" priority="18" operator="equal">
      <formula>"3 - Competent"</formula>
    </cfRule>
    <cfRule type="cellIs" dxfId="201" priority="19" operator="equal">
      <formula>"2 - Developing"</formula>
    </cfRule>
    <cfRule type="cellIs" dxfId="200" priority="20" operator="equal">
      <formula>"1 - Basic"</formula>
    </cfRule>
  </conditionalFormatting>
  <conditionalFormatting sqref="C18">
    <cfRule type="cellIs" dxfId="199" priority="11" operator="equal">
      <formula>"5 - Mastery"</formula>
    </cfRule>
    <cfRule type="cellIs" dxfId="198" priority="12" operator="equal">
      <formula>"4 - Proficient"</formula>
    </cfRule>
    <cfRule type="cellIs" dxfId="197" priority="13" operator="equal">
      <formula>"3 - Competent"</formula>
    </cfRule>
    <cfRule type="cellIs" dxfId="196" priority="14" operator="equal">
      <formula>"2 - Developing"</formula>
    </cfRule>
    <cfRule type="cellIs" dxfId="195" priority="15" operator="equal">
      <formula>"1 - Basic"</formula>
    </cfRule>
  </conditionalFormatting>
  <conditionalFormatting sqref="C8">
    <cfRule type="cellIs" dxfId="194" priority="6" operator="equal">
      <formula>"5 - Mastery"</formula>
    </cfRule>
    <cfRule type="cellIs" dxfId="193" priority="7" operator="equal">
      <formula>"4 - Proficient"</formula>
    </cfRule>
    <cfRule type="cellIs" dxfId="192" priority="8" operator="equal">
      <formula>"3 - Competent"</formula>
    </cfRule>
    <cfRule type="cellIs" dxfId="191" priority="9" operator="equal">
      <formula>"2 - Developing"</formula>
    </cfRule>
    <cfRule type="cellIs" dxfId="190" priority="10" operator="equal">
      <formula>"1 - Basic"</formula>
    </cfRule>
  </conditionalFormatting>
  <conditionalFormatting sqref="C23">
    <cfRule type="cellIs" dxfId="189" priority="1" operator="equal">
      <formula>"5 - Mastery"</formula>
    </cfRule>
    <cfRule type="cellIs" dxfId="188" priority="2" operator="equal">
      <formula>"4 - Proficient"</formula>
    </cfRule>
    <cfRule type="cellIs" dxfId="187" priority="3" operator="equal">
      <formula>"3 - Competent"</formula>
    </cfRule>
    <cfRule type="cellIs" dxfId="186" priority="4" operator="equal">
      <formula>"2 - Developing"</formula>
    </cfRule>
    <cfRule type="cellIs" dxfId="185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94810C-0099-4F1B-8300-FF7C0B7FB539}">
          <x14:formula1>
            <xm:f>Data!$D$2:$D$4</xm:f>
          </x14:formula1>
          <xm:sqref>B3 B18 B8 B13 B23</xm:sqref>
        </x14:dataValidation>
        <x14:dataValidation type="list" allowBlank="1" showInputMessage="1" showErrorMessage="1" xr:uid="{9E08567E-E8DA-4455-AEC3-ABA778E20950}">
          <x14:formula1>
            <xm:f>Data!$A$2:$A$6</xm:f>
          </x14:formula1>
          <xm:sqref>C3 C18 C8 C13 C23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EBD3-8CA1-4EF1-851B-CF96F9F42CD3}">
  <dimension ref="A1:G27"/>
  <sheetViews>
    <sheetView topLeftCell="A4" zoomScale="130" zoomScaleNormal="130" workbookViewId="0">
      <selection activeCell="A3" sqref="A3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7" ht="30.9" customHeight="1" thickBot="1" x14ac:dyDescent="0.45">
      <c r="A1" s="40" t="s">
        <v>275</v>
      </c>
      <c r="B1" s="40"/>
      <c r="C1" s="40"/>
      <c r="D1" s="40"/>
      <c r="E1" s="40"/>
    </row>
    <row r="2" spans="1:7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7" s="3" customFormat="1" ht="29.6" customHeight="1" thickTop="1" x14ac:dyDescent="0.4">
      <c r="A3" s="18" t="str">
        <f>Data!A63</f>
        <v>Tournament Exposure</v>
      </c>
      <c r="B3" s="35" t="s">
        <v>257</v>
      </c>
      <c r="C3" s="35" t="s">
        <v>264</v>
      </c>
      <c r="D3" s="36"/>
      <c r="E3" s="37"/>
      <c r="G3" t="s">
        <v>95</v>
      </c>
    </row>
    <row r="4" spans="1:7" ht="43.85" customHeight="1" x14ac:dyDescent="0.4">
      <c r="A4" s="4" t="s">
        <v>3</v>
      </c>
      <c r="B4" s="21"/>
      <c r="C4" s="21"/>
      <c r="D4" s="21"/>
      <c r="E4" s="22"/>
      <c r="G4" t="s">
        <v>96</v>
      </c>
    </row>
    <row r="5" spans="1:7" x14ac:dyDescent="0.4">
      <c r="A5" s="33" t="s">
        <v>260</v>
      </c>
      <c r="B5" s="32"/>
      <c r="C5" s="32"/>
      <c r="D5" s="32" t="s">
        <v>266</v>
      </c>
      <c r="E5" s="34"/>
      <c r="G5" t="s">
        <v>97</v>
      </c>
    </row>
    <row r="6" spans="1:7" ht="29.15" customHeight="1" thickBot="1" x14ac:dyDescent="0.45">
      <c r="A6" s="10" t="str">
        <f>IF(B3="Beginner",Data!B63,IF(B3="Intermediate",Data!C63,IF(B3="Advanced",Data!D63,"No Rating")))</f>
        <v>Limited match play experience.</v>
      </c>
      <c r="B6" s="11"/>
      <c r="C6" s="11"/>
      <c r="D6" s="11" t="str">
        <f>IF(B3="Beginner",Data!C63,IF(B3="Intermediate",Data!D63,"No Rating"))</f>
        <v>Plays local tournaments occasionally.</v>
      </c>
      <c r="E6" s="12"/>
      <c r="G6" t="s">
        <v>98</v>
      </c>
    </row>
    <row r="7" spans="1:7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  <c r="G7" t="s">
        <v>99</v>
      </c>
    </row>
    <row r="8" spans="1:7" ht="29.6" customHeight="1" thickTop="1" x14ac:dyDescent="0.4">
      <c r="A8" s="8" t="str">
        <f>Data!A64</f>
        <v>Match-play Practice</v>
      </c>
      <c r="B8" s="9" t="s">
        <v>257</v>
      </c>
      <c r="C8" s="9" t="s">
        <v>271</v>
      </c>
      <c r="D8" s="23"/>
      <c r="E8" s="24"/>
    </row>
    <row r="9" spans="1:7" ht="45.55" customHeight="1" x14ac:dyDescent="0.4">
      <c r="A9" s="4" t="s">
        <v>3</v>
      </c>
      <c r="B9" s="21"/>
      <c r="C9" s="21"/>
      <c r="D9" s="21"/>
      <c r="E9" s="22"/>
    </row>
    <row r="10" spans="1:7" x14ac:dyDescent="0.4">
      <c r="A10" s="33" t="s">
        <v>260</v>
      </c>
      <c r="B10" s="32"/>
      <c r="C10" s="32"/>
      <c r="D10" s="32" t="s">
        <v>266</v>
      </c>
      <c r="E10" s="34"/>
    </row>
    <row r="11" spans="1:7" ht="30.45" customHeight="1" thickBot="1" x14ac:dyDescent="0.45">
      <c r="A11" s="10" t="str">
        <f>IF(B8="Beginner",Data!B64,IF(B8="Intermediate",Data!C64,IF(B8="Advanced",Data!D64,"No Rating")))</f>
        <v>Rarely plays practice matches.</v>
      </c>
      <c r="B11" s="11"/>
      <c r="C11" s="11"/>
      <c r="D11" s="11" t="str">
        <f>IF(B8="Beginner",Data!C64,IF(B8="Intermediate",Data!D64,"No Rating"))</f>
        <v>Plays matches weekly.</v>
      </c>
      <c r="E11" s="12"/>
    </row>
    <row r="12" spans="1:7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7" ht="30" customHeight="1" thickTop="1" x14ac:dyDescent="0.4">
      <c r="A13" s="13" t="str">
        <f>Data!A65</f>
        <v>Handling Pressure Situations</v>
      </c>
      <c r="B13" s="17" t="s">
        <v>257</v>
      </c>
      <c r="C13" s="17" t="s">
        <v>262</v>
      </c>
      <c r="D13" s="25"/>
      <c r="E13" s="26"/>
    </row>
    <row r="14" spans="1:7" ht="44.6" customHeight="1" x14ac:dyDescent="0.4">
      <c r="A14" s="4" t="s">
        <v>3</v>
      </c>
      <c r="B14" s="21"/>
      <c r="C14" s="21"/>
      <c r="D14" s="21"/>
      <c r="E14" s="22"/>
    </row>
    <row r="15" spans="1:7" x14ac:dyDescent="0.4">
      <c r="A15" s="33" t="s">
        <v>260</v>
      </c>
      <c r="B15" s="32"/>
      <c r="C15" s="32"/>
      <c r="D15" s="32" t="s">
        <v>266</v>
      </c>
      <c r="E15" s="34"/>
    </row>
    <row r="16" spans="1:7" ht="27.9" customHeight="1" thickBot="1" x14ac:dyDescent="0.45">
      <c r="A16" s="10" t="str">
        <f>IF(B13="Beginner",Data!B65,IF(B13="Intermediate",Data!C65,IF(B13="Advanced",Data!D65,"No Rating")))</f>
        <v>Struggles in tiebreaks or close sets.</v>
      </c>
      <c r="B16" s="11"/>
      <c r="C16" s="11"/>
      <c r="D16" s="11" t="str">
        <f>IF(B13="Beginner",Data!C65,IF(B13="Intermediate",Data!D65,"No Rating"))</f>
        <v>Improving under pressure.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Data!A66</f>
        <v>Learning from Wins/Losses</v>
      </c>
      <c r="B18" s="19" t="s">
        <v>257</v>
      </c>
      <c r="C18" s="19" t="s">
        <v>262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IF(B18="Beginner",Data!B66,IF(B18="Intermediate",Data!C66,IF(B18="Advanced",Data!D66,"No Rating")))</f>
        <v>Repeats same mistakes.</v>
      </c>
      <c r="B21" s="6"/>
      <c r="C21" s="6"/>
      <c r="D21" s="6" t="str">
        <f>IF(B18="Beginner",Data!C66,IF(B18="Intermediate",Data!D66,"No Rating"))</f>
        <v>Reflects occasionally on outcomes.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38" t="str">
        <f>Data!A67</f>
        <v>Match Consistency</v>
      </c>
      <c r="B23" s="19" t="s">
        <v>257</v>
      </c>
      <c r="C23" s="19" t="s">
        <v>262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IF(B23="Beginner",Data!B67,IF(B23="Intermediate",Data!C67,IF(B23="Advanced",Data!D67,"No Rating")))</f>
        <v>Inconsistent performance.</v>
      </c>
      <c r="B26" s="11"/>
      <c r="C26" s="11"/>
      <c r="D26" s="11" t="str">
        <f>IF(B23="Beginner",Data!C67,IF(B23="Intermediate",Data!D67,"No Rating"))</f>
        <v>Plays well in patches.</v>
      </c>
      <c r="E26" s="12"/>
    </row>
    <row r="27" spans="1:5" ht="15" thickTop="1" x14ac:dyDescent="0.4"/>
  </sheetData>
  <mergeCells count="26">
    <mergeCell ref="B24:E24"/>
    <mergeCell ref="A25:C25"/>
    <mergeCell ref="D25:E25"/>
    <mergeCell ref="A26:C26"/>
    <mergeCell ref="D26:E26"/>
    <mergeCell ref="A1:E1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184" priority="21" operator="equal">
      <formula>"5 - Mastery"</formula>
    </cfRule>
    <cfRule type="cellIs" dxfId="183" priority="22" operator="equal">
      <formula>"4 - Proficient"</formula>
    </cfRule>
    <cfRule type="cellIs" dxfId="182" priority="23" operator="equal">
      <formula>"3 - Competent"</formula>
    </cfRule>
    <cfRule type="cellIs" dxfId="181" priority="24" operator="equal">
      <formula>"2 - Developing"</formula>
    </cfRule>
    <cfRule type="cellIs" dxfId="180" priority="25" operator="equal">
      <formula>"1 - Basic"</formula>
    </cfRule>
  </conditionalFormatting>
  <conditionalFormatting sqref="C13">
    <cfRule type="cellIs" dxfId="179" priority="16" operator="equal">
      <formula>"5 - Mastery"</formula>
    </cfRule>
    <cfRule type="cellIs" dxfId="178" priority="17" operator="equal">
      <formula>"4 - Proficient"</formula>
    </cfRule>
    <cfRule type="cellIs" dxfId="177" priority="18" operator="equal">
      <formula>"3 - Competent"</formula>
    </cfRule>
    <cfRule type="cellIs" dxfId="176" priority="19" operator="equal">
      <formula>"2 - Developing"</formula>
    </cfRule>
    <cfRule type="cellIs" dxfId="175" priority="20" operator="equal">
      <formula>"1 - Basic"</formula>
    </cfRule>
  </conditionalFormatting>
  <conditionalFormatting sqref="C18">
    <cfRule type="cellIs" dxfId="174" priority="11" operator="equal">
      <formula>"5 - Mastery"</formula>
    </cfRule>
    <cfRule type="cellIs" dxfId="173" priority="12" operator="equal">
      <formula>"4 - Proficient"</formula>
    </cfRule>
    <cfRule type="cellIs" dxfId="172" priority="13" operator="equal">
      <formula>"3 - Competent"</formula>
    </cfRule>
    <cfRule type="cellIs" dxfId="171" priority="14" operator="equal">
      <formula>"2 - Developing"</formula>
    </cfRule>
    <cfRule type="cellIs" dxfId="170" priority="15" operator="equal">
      <formula>"1 - Basic"</formula>
    </cfRule>
  </conditionalFormatting>
  <conditionalFormatting sqref="C8">
    <cfRule type="cellIs" dxfId="169" priority="6" operator="equal">
      <formula>"5 - Mastery"</formula>
    </cfRule>
    <cfRule type="cellIs" dxfId="168" priority="7" operator="equal">
      <formula>"4 - Proficient"</formula>
    </cfRule>
    <cfRule type="cellIs" dxfId="167" priority="8" operator="equal">
      <formula>"3 - Competent"</formula>
    </cfRule>
    <cfRule type="cellIs" dxfId="166" priority="9" operator="equal">
      <formula>"2 - Developing"</formula>
    </cfRule>
    <cfRule type="cellIs" dxfId="165" priority="10" operator="equal">
      <formula>"1 - Basic"</formula>
    </cfRule>
  </conditionalFormatting>
  <conditionalFormatting sqref="C23">
    <cfRule type="cellIs" dxfId="164" priority="1" operator="equal">
      <formula>"5 - Mastery"</formula>
    </cfRule>
    <cfRule type="cellIs" dxfId="163" priority="2" operator="equal">
      <formula>"4 - Proficient"</formula>
    </cfRule>
    <cfRule type="cellIs" dxfId="162" priority="3" operator="equal">
      <formula>"3 - Competent"</formula>
    </cfRule>
    <cfRule type="cellIs" dxfId="161" priority="4" operator="equal">
      <formula>"2 - Developing"</formula>
    </cfRule>
    <cfRule type="cellIs" dxfId="160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55083C-2E62-4210-A9B6-2B26C3380A17}">
          <x14:formula1>
            <xm:f>Data!$A$2:$A$6</xm:f>
          </x14:formula1>
          <xm:sqref>C3 C18 C8 C13 C23</xm:sqref>
        </x14:dataValidation>
        <x14:dataValidation type="list" allowBlank="1" showInputMessage="1" showErrorMessage="1" xr:uid="{659419C4-DCC1-42A2-AB06-BC56B3D449E3}">
          <x14:formula1>
            <xm:f>Data!$D$2:$D$4</xm:f>
          </x14:formula1>
          <xm:sqref>B3 B18 B8 B13 B23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C2D4-D8FF-410D-A4AB-A141CFFA8A12}">
  <dimension ref="A1:E27"/>
  <sheetViews>
    <sheetView zoomScale="130" zoomScaleNormal="130" workbookViewId="0">
      <selection activeCell="A28" sqref="A28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5" ht="28.3" customHeight="1" thickBot="1" x14ac:dyDescent="0.45">
      <c r="A1" s="40" t="s">
        <v>268</v>
      </c>
      <c r="B1" s="40"/>
      <c r="C1" s="40"/>
      <c r="D1" s="40"/>
      <c r="E1" s="40"/>
    </row>
    <row r="2" spans="1:5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5" s="3" customFormat="1" ht="29.6" customHeight="1" thickTop="1" x14ac:dyDescent="0.4">
      <c r="A3" s="18" t="str">
        <f>Data!A28</f>
        <v>Strength</v>
      </c>
      <c r="B3" s="35" t="s">
        <v>257</v>
      </c>
      <c r="C3" s="35" t="s">
        <v>264</v>
      </c>
      <c r="D3" s="36"/>
      <c r="E3" s="37"/>
    </row>
    <row r="4" spans="1:5" ht="43.85" customHeight="1" x14ac:dyDescent="0.4">
      <c r="A4" s="4" t="s">
        <v>3</v>
      </c>
      <c r="B4" s="21"/>
      <c r="C4" s="21"/>
      <c r="D4" s="21"/>
      <c r="E4" s="22"/>
    </row>
    <row r="5" spans="1:5" x14ac:dyDescent="0.4">
      <c r="A5" s="33" t="s">
        <v>260</v>
      </c>
      <c r="B5" s="32"/>
      <c r="C5" s="32"/>
      <c r="D5" s="32" t="s">
        <v>266</v>
      </c>
      <c r="E5" s="34"/>
    </row>
    <row r="6" spans="1:5" ht="29.15" customHeight="1" thickBot="1" x14ac:dyDescent="0.45">
      <c r="A6" s="10" t="str">
        <f>IF(B3="Beginner",Data!B28,IF(B3="Intermediate",Data!C28,IF(B3="Advanced",Data!D28,"No Rating")))</f>
        <v>Limited strength; struggles with power generation.</v>
      </c>
      <c r="B6" s="11"/>
      <c r="C6" s="11"/>
      <c r="D6" s="11" t="str">
        <f>IF(B3="Beginner",Data!C28,IF(B3="Intermediate",Data!D28,"No Rating"))</f>
        <v>Developing core and leg strength; improved shot stability.</v>
      </c>
      <c r="E6" s="12"/>
    </row>
    <row r="7" spans="1:5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</row>
    <row r="8" spans="1:5" ht="29.6" customHeight="1" thickTop="1" x14ac:dyDescent="0.4">
      <c r="A8" s="8" t="str">
        <f>Data!A29</f>
        <v>Endurance</v>
      </c>
      <c r="B8" s="9" t="s">
        <v>257</v>
      </c>
      <c r="C8" s="9" t="s">
        <v>271</v>
      </c>
      <c r="D8" s="23"/>
      <c r="E8" s="24"/>
    </row>
    <row r="9" spans="1:5" ht="45.55" customHeight="1" x14ac:dyDescent="0.4">
      <c r="A9" s="4" t="s">
        <v>3</v>
      </c>
      <c r="B9" s="21"/>
      <c r="C9" s="21"/>
      <c r="D9" s="21"/>
      <c r="E9" s="22"/>
    </row>
    <row r="10" spans="1:5" x14ac:dyDescent="0.4">
      <c r="A10" s="33" t="s">
        <v>260</v>
      </c>
      <c r="B10" s="32"/>
      <c r="C10" s="32"/>
      <c r="D10" s="32" t="s">
        <v>266</v>
      </c>
      <c r="E10" s="34"/>
    </row>
    <row r="11" spans="1:5" ht="30.45" customHeight="1" thickBot="1" x14ac:dyDescent="0.45">
      <c r="A11" s="10" t="str">
        <f>IF(B8="Beginner",Data!B29,IF(B8="Intermediate",Data!C29,IF(B8="Advanced",Data!D29,"No Rating")))</f>
        <v>Fatigues quickly; inconsistent performance.</v>
      </c>
      <c r="B11" s="11"/>
      <c r="C11" s="11"/>
      <c r="D11" s="11" t="str">
        <f>IF(B8="Beginner",Data!C28,IF(B8="Intermediate",Data!D28,"No Rating"))</f>
        <v>Developing core and leg strength; improved shot stability.</v>
      </c>
      <c r="E11" s="12"/>
    </row>
    <row r="12" spans="1:5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5" ht="30" customHeight="1" thickTop="1" x14ac:dyDescent="0.4">
      <c r="A13" s="13" t="str">
        <f>Data!A30</f>
        <v>Speed</v>
      </c>
      <c r="B13" s="17" t="s">
        <v>257</v>
      </c>
      <c r="C13" s="17" t="s">
        <v>262</v>
      </c>
      <c r="D13" s="25"/>
      <c r="E13" s="26"/>
    </row>
    <row r="14" spans="1:5" ht="44.6" customHeight="1" x14ac:dyDescent="0.4">
      <c r="A14" s="4" t="s">
        <v>3</v>
      </c>
      <c r="B14" s="21"/>
      <c r="C14" s="21"/>
      <c r="D14" s="21"/>
      <c r="E14" s="22"/>
    </row>
    <row r="15" spans="1:5" x14ac:dyDescent="0.4">
      <c r="A15" s="33" t="s">
        <v>260</v>
      </c>
      <c r="B15" s="32"/>
      <c r="C15" s="32"/>
      <c r="D15" s="32" t="s">
        <v>266</v>
      </c>
      <c r="E15" s="34"/>
    </row>
    <row r="16" spans="1:5" ht="27.9" customHeight="1" thickBot="1" x14ac:dyDescent="0.45">
      <c r="A16" s="10" t="str">
        <f>IF(B13="Beginner",Data!B30,IF(B13="Intermediate",Data!C30,IF(B13="Advanced",Data!D30,"No Rating")))</f>
        <v>Slow reactions; difficulty reaching wide balls.</v>
      </c>
      <c r="B16" s="11"/>
      <c r="C16" s="11"/>
      <c r="D16" s="11" t="str">
        <f>IF(B13="Beginner",Data!C30,IF(B13="Intermediate",Data!D30,"No Rating"))</f>
        <v>Improved court coverage; decent acceleration.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Data!A31</f>
        <v>Agility</v>
      </c>
      <c r="B18" s="19" t="s">
        <v>257</v>
      </c>
      <c r="C18" s="19" t="s">
        <v>262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IF(B18="Beginner",Data!B31,IF(B18="Intermediate",Data!C31,IF(B18="Advanced",Data!D31,"No Rating")))</f>
        <v>Struggles with direction changes.</v>
      </c>
      <c r="B21" s="6"/>
      <c r="C21" s="6"/>
      <c r="D21" s="6" t="str">
        <f>IF(B18="Beginner",Data!C31,IF(B18="Intermediate",Data!D31,"No Rating"))</f>
        <v>Can change direction with moderate control.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38" t="str">
        <f>Data!A32</f>
        <v>Flexibility &amp; Mobility</v>
      </c>
      <c r="B23" s="19" t="s">
        <v>257</v>
      </c>
      <c r="C23" s="19" t="s">
        <v>262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IF(B23="Beginner",Data!B32,IF(B23="Intermediate",Data!C32,IF(B23="Advanced",Data!D32,"No Rating")))</f>
        <v>Limited range of motion; injury risk.</v>
      </c>
      <c r="B26" s="11"/>
      <c r="C26" s="11"/>
      <c r="D26" s="11" t="str">
        <f>IF(B23="Beginner",Data!C32,IF(B23="Intermediate",Data!D32,"No Rating"))</f>
        <v>Improved flexibility; fewer movement restrictions.</v>
      </c>
      <c r="E26" s="12"/>
    </row>
    <row r="27" spans="1:5" ht="15" thickTop="1" x14ac:dyDescent="0.4"/>
  </sheetData>
  <mergeCells count="26">
    <mergeCell ref="A1:E1"/>
    <mergeCell ref="B24:E24"/>
    <mergeCell ref="A25:C25"/>
    <mergeCell ref="D25:E25"/>
    <mergeCell ref="A26:C26"/>
    <mergeCell ref="D26:E26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159" priority="31" operator="equal">
      <formula>"5 - Mastery"</formula>
    </cfRule>
    <cfRule type="cellIs" dxfId="158" priority="32" operator="equal">
      <formula>"4 - Proficient"</formula>
    </cfRule>
    <cfRule type="cellIs" dxfId="157" priority="33" operator="equal">
      <formula>"3 - Competent"</formula>
    </cfRule>
    <cfRule type="cellIs" dxfId="156" priority="34" operator="equal">
      <formula>"2 - Developing"</formula>
    </cfRule>
    <cfRule type="cellIs" dxfId="155" priority="35" operator="equal">
      <formula>"1 - Basic"</formula>
    </cfRule>
  </conditionalFormatting>
  <conditionalFormatting sqref="C13">
    <cfRule type="cellIs" dxfId="154" priority="26" operator="equal">
      <formula>"5 - Mastery"</formula>
    </cfRule>
    <cfRule type="cellIs" dxfId="153" priority="27" operator="equal">
      <formula>"4 - Proficient"</formula>
    </cfRule>
    <cfRule type="cellIs" dxfId="152" priority="28" operator="equal">
      <formula>"3 - Competent"</formula>
    </cfRule>
    <cfRule type="cellIs" dxfId="151" priority="29" operator="equal">
      <formula>"2 - Developing"</formula>
    </cfRule>
    <cfRule type="cellIs" dxfId="150" priority="30" operator="equal">
      <formula>"1 - Basic"</formula>
    </cfRule>
  </conditionalFormatting>
  <conditionalFormatting sqref="C18">
    <cfRule type="cellIs" dxfId="149" priority="21" operator="equal">
      <formula>"5 - Mastery"</formula>
    </cfRule>
    <cfRule type="cellIs" dxfId="148" priority="22" operator="equal">
      <formula>"4 - Proficient"</formula>
    </cfRule>
    <cfRule type="cellIs" dxfId="147" priority="23" operator="equal">
      <formula>"3 - Competent"</formula>
    </cfRule>
    <cfRule type="cellIs" dxfId="146" priority="24" operator="equal">
      <formula>"2 - Developing"</formula>
    </cfRule>
    <cfRule type="cellIs" dxfId="145" priority="25" operator="equal">
      <formula>"1 - Basic"</formula>
    </cfRule>
  </conditionalFormatting>
  <conditionalFormatting sqref="C8">
    <cfRule type="cellIs" dxfId="144" priority="16" operator="equal">
      <formula>"5 - Mastery"</formula>
    </cfRule>
    <cfRule type="cellIs" dxfId="143" priority="17" operator="equal">
      <formula>"4 - Proficient"</formula>
    </cfRule>
    <cfRule type="cellIs" dxfId="142" priority="18" operator="equal">
      <formula>"3 - Competent"</formula>
    </cfRule>
    <cfRule type="cellIs" dxfId="141" priority="19" operator="equal">
      <formula>"2 - Developing"</formula>
    </cfRule>
    <cfRule type="cellIs" dxfId="140" priority="20" operator="equal">
      <formula>"1 - Basic"</formula>
    </cfRule>
  </conditionalFormatting>
  <conditionalFormatting sqref="C23">
    <cfRule type="cellIs" dxfId="139" priority="11" operator="equal">
      <formula>"5 - Mastery"</formula>
    </cfRule>
    <cfRule type="cellIs" dxfId="138" priority="12" operator="equal">
      <formula>"4 - Proficient"</formula>
    </cfRule>
    <cfRule type="cellIs" dxfId="137" priority="13" operator="equal">
      <formula>"3 - Competent"</formula>
    </cfRule>
    <cfRule type="cellIs" dxfId="136" priority="14" operator="equal">
      <formula>"2 - Developing"</formula>
    </cfRule>
    <cfRule type="cellIs" dxfId="135" priority="1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D8CC1E-BD80-4924-B144-DB0CC1947A3E}">
          <x14:formula1>
            <xm:f>Data!$D$2:$D$4</xm:f>
          </x14:formula1>
          <xm:sqref>B3 B18 B8 B13 B23</xm:sqref>
        </x14:dataValidation>
        <x14:dataValidation type="list" allowBlank="1" showInputMessage="1" showErrorMessage="1" xr:uid="{075E595D-C834-4EC0-AF82-C8878B572544}">
          <x14:formula1>
            <xm:f>Data!$A$2:$A$6</xm:f>
          </x14:formula1>
          <xm:sqref>C3 C18 C8 C13 C23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2BAC-1694-49AB-90C1-ADF9DBEA3DA0}">
  <dimension ref="A1:G27"/>
  <sheetViews>
    <sheetView zoomScale="130" zoomScaleNormal="130" workbookViewId="0">
      <selection activeCell="A3" sqref="A3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7" ht="31.3" customHeight="1" thickBot="1" x14ac:dyDescent="0.45">
      <c r="A1" s="40" t="s">
        <v>273</v>
      </c>
      <c r="B1" s="40"/>
      <c r="C1" s="40"/>
      <c r="D1" s="40"/>
      <c r="E1" s="40"/>
    </row>
    <row r="2" spans="1:7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7" s="3" customFormat="1" ht="29.6" customHeight="1" thickTop="1" x14ac:dyDescent="0.4">
      <c r="A3" s="18" t="str">
        <f>Data!A49</f>
        <v>Focus and Concentration</v>
      </c>
      <c r="B3" s="35" t="s">
        <v>257</v>
      </c>
      <c r="C3" s="35" t="s">
        <v>264</v>
      </c>
      <c r="D3" s="36"/>
      <c r="E3" s="37"/>
      <c r="G3" t="s">
        <v>95</v>
      </c>
    </row>
    <row r="4" spans="1:7" ht="43.85" customHeight="1" x14ac:dyDescent="0.4">
      <c r="A4" s="4" t="s">
        <v>3</v>
      </c>
      <c r="B4" s="21"/>
      <c r="C4" s="21"/>
      <c r="D4" s="21"/>
      <c r="E4" s="22"/>
      <c r="G4" t="s">
        <v>96</v>
      </c>
    </row>
    <row r="5" spans="1:7" x14ac:dyDescent="0.4">
      <c r="A5" s="33" t="s">
        <v>260</v>
      </c>
      <c r="B5" s="32"/>
      <c r="C5" s="32"/>
      <c r="D5" s="32" t="s">
        <v>266</v>
      </c>
      <c r="E5" s="34"/>
      <c r="G5" t="s">
        <v>97</v>
      </c>
    </row>
    <row r="6" spans="1:7" ht="29.15" customHeight="1" thickBot="1" x14ac:dyDescent="0.45">
      <c r="A6" s="10" t="str">
        <f>IF(B3="Beginner",Data!B49,IF(B3="Intermediate",Data!C49,IF(B3="Advanced",Data!D49,"No Rating")))</f>
        <v>Easily distracted; loses focus mid-point.</v>
      </c>
      <c r="B6" s="11"/>
      <c r="C6" s="11"/>
      <c r="D6" s="11" t="str">
        <f>IF(B3="Beginner",Data!C49,IF(B3="Intermediate",Data!D49,"No Rating"))</f>
        <v>Stays focused for most of match.</v>
      </c>
      <c r="E6" s="12"/>
      <c r="G6" t="s">
        <v>98</v>
      </c>
    </row>
    <row r="7" spans="1:7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  <c r="G7" t="s">
        <v>99</v>
      </c>
    </row>
    <row r="8" spans="1:7" ht="29.6" customHeight="1" thickTop="1" x14ac:dyDescent="0.4">
      <c r="A8" s="8" t="str">
        <f>Data!A50</f>
        <v>Confidence Under Pressure</v>
      </c>
      <c r="B8" s="9" t="s">
        <v>257</v>
      </c>
      <c r="C8" s="9" t="s">
        <v>271</v>
      </c>
      <c r="D8" s="23"/>
      <c r="E8" s="24"/>
    </row>
    <row r="9" spans="1:7" ht="45.55" customHeight="1" x14ac:dyDescent="0.4">
      <c r="A9" s="4" t="s">
        <v>3</v>
      </c>
      <c r="B9" s="21"/>
      <c r="C9" s="21"/>
      <c r="D9" s="21"/>
      <c r="E9" s="22"/>
    </row>
    <row r="10" spans="1:7" x14ac:dyDescent="0.4">
      <c r="A10" s="33" t="s">
        <v>260</v>
      </c>
      <c r="B10" s="32"/>
      <c r="C10" s="32"/>
      <c r="D10" s="32" t="s">
        <v>266</v>
      </c>
      <c r="E10" s="34"/>
    </row>
    <row r="11" spans="1:7" ht="30.45" customHeight="1" thickBot="1" x14ac:dyDescent="0.45">
      <c r="A11" s="10" t="str">
        <f>IF(B8="Beginner",Data!B50,IF(B8="Intermediate",Data!C50,IF(B8="Advanced",Data!D50,"No Rating")))</f>
        <v>Doubts self in tight moments.</v>
      </c>
      <c r="B11" s="11"/>
      <c r="C11" s="11"/>
      <c r="D11" s="11" t="str">
        <f>IF(B8="Beginner",Data!C50,IF(B8="Intermediate",Data!D50,"No Rating"))</f>
        <v>Occasionally confident under pressure.</v>
      </c>
      <c r="E11" s="12"/>
    </row>
    <row r="12" spans="1:7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7" ht="30" customHeight="1" thickTop="1" x14ac:dyDescent="0.4">
      <c r="A13" s="13" t="str">
        <f>Data!A51</f>
        <v>Emotional Control</v>
      </c>
      <c r="B13" s="17" t="s">
        <v>257</v>
      </c>
      <c r="C13" s="17" t="s">
        <v>262</v>
      </c>
      <c r="D13" s="25"/>
      <c r="E13" s="26"/>
    </row>
    <row r="14" spans="1:7" ht="44.6" customHeight="1" x14ac:dyDescent="0.4">
      <c r="A14" s="4" t="s">
        <v>3</v>
      </c>
      <c r="B14" s="21"/>
      <c r="C14" s="21"/>
      <c r="D14" s="21"/>
      <c r="E14" s="22"/>
    </row>
    <row r="15" spans="1:7" x14ac:dyDescent="0.4">
      <c r="A15" s="33" t="s">
        <v>260</v>
      </c>
      <c r="B15" s="32"/>
      <c r="C15" s="32"/>
      <c r="D15" s="32" t="s">
        <v>266</v>
      </c>
      <c r="E15" s="34"/>
    </row>
    <row r="16" spans="1:7" ht="27.9" customHeight="1" thickBot="1" x14ac:dyDescent="0.45">
      <c r="A16" s="10" t="str">
        <f>IF(B13="Beginner",Data!B51,IF(B13="Intermediate",Data!C51,IF(B13="Advanced",Data!D51,"No Rating")))</f>
        <v>Frequent frustration or visible emotion.</v>
      </c>
      <c r="B16" s="11"/>
      <c r="C16" s="11"/>
      <c r="D16" s="11" t="str">
        <f>IF(B13="Beginner",Data!C51,IF(B13="Intermediate",Data!D51,"No Rating"))</f>
        <v>Manages emotions with effort.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Data!A52</f>
        <v>Resilience</v>
      </c>
      <c r="B18" s="19" t="s">
        <v>257</v>
      </c>
      <c r="C18" s="19" t="s">
        <v>262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IF(B18="Beginner",Data!B52,IF(B18="Intermediate",Data!C52,IF(B18="Advanced",Data!D52,"No Rating")))</f>
        <v>Gives up after mistakes or losses.</v>
      </c>
      <c r="B21" s="6"/>
      <c r="C21" s="6"/>
      <c r="D21" s="6" t="str">
        <f>IF(B18="Beginner",Data!C52,IF(B18="Intermediate",Data!D52,"No Rating"))</f>
        <v>Recovers slowly from setbacks.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38" t="str">
        <f>Data!A53</f>
        <v>Match Intensity</v>
      </c>
      <c r="B23" s="19" t="s">
        <v>257</v>
      </c>
      <c r="C23" s="19" t="s">
        <v>262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IF(B23="Beginner",Data!B53,IF(B23="Intermediate",Data!C53,IF(B23="Advanced",Data!D53,"No Rating")))</f>
        <v>Low energy; inconsistent effort.</v>
      </c>
      <c r="B26" s="11"/>
      <c r="C26" s="11"/>
      <c r="D26" s="11" t="str">
        <f>IF(B23="Beginner",Data!C53,IF(B23="Intermediate",Data!D53,"No Rating"))</f>
        <v>Moderate intensity; fades at times.</v>
      </c>
      <c r="E26" s="12"/>
    </row>
    <row r="27" spans="1:5" ht="15" thickTop="1" x14ac:dyDescent="0.4"/>
  </sheetData>
  <mergeCells count="26">
    <mergeCell ref="B24:E24"/>
    <mergeCell ref="A25:C25"/>
    <mergeCell ref="D25:E25"/>
    <mergeCell ref="A26:C26"/>
    <mergeCell ref="D26:E26"/>
    <mergeCell ref="A1:E1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134" priority="21" operator="equal">
      <formula>"5 - Mastery"</formula>
    </cfRule>
    <cfRule type="cellIs" dxfId="133" priority="22" operator="equal">
      <formula>"4 - Proficient"</formula>
    </cfRule>
    <cfRule type="cellIs" dxfId="132" priority="23" operator="equal">
      <formula>"3 - Competent"</formula>
    </cfRule>
    <cfRule type="cellIs" dxfId="131" priority="24" operator="equal">
      <formula>"2 - Developing"</formula>
    </cfRule>
    <cfRule type="cellIs" dxfId="130" priority="25" operator="equal">
      <formula>"1 - Basic"</formula>
    </cfRule>
  </conditionalFormatting>
  <conditionalFormatting sqref="C13">
    <cfRule type="cellIs" dxfId="129" priority="16" operator="equal">
      <formula>"5 - Mastery"</formula>
    </cfRule>
    <cfRule type="cellIs" dxfId="128" priority="17" operator="equal">
      <formula>"4 - Proficient"</formula>
    </cfRule>
    <cfRule type="cellIs" dxfId="127" priority="18" operator="equal">
      <formula>"3 - Competent"</formula>
    </cfRule>
    <cfRule type="cellIs" dxfId="126" priority="19" operator="equal">
      <formula>"2 - Developing"</formula>
    </cfRule>
    <cfRule type="cellIs" dxfId="125" priority="20" operator="equal">
      <formula>"1 - Basic"</formula>
    </cfRule>
  </conditionalFormatting>
  <conditionalFormatting sqref="C18">
    <cfRule type="cellIs" dxfId="124" priority="11" operator="equal">
      <formula>"5 - Mastery"</formula>
    </cfRule>
    <cfRule type="cellIs" dxfId="123" priority="12" operator="equal">
      <formula>"4 - Proficient"</formula>
    </cfRule>
    <cfRule type="cellIs" dxfId="122" priority="13" operator="equal">
      <formula>"3 - Competent"</formula>
    </cfRule>
    <cfRule type="cellIs" dxfId="121" priority="14" operator="equal">
      <formula>"2 - Developing"</formula>
    </cfRule>
    <cfRule type="cellIs" dxfId="120" priority="15" operator="equal">
      <formula>"1 - Basic"</formula>
    </cfRule>
  </conditionalFormatting>
  <conditionalFormatting sqref="C8">
    <cfRule type="cellIs" dxfId="119" priority="6" operator="equal">
      <formula>"5 - Mastery"</formula>
    </cfRule>
    <cfRule type="cellIs" dxfId="118" priority="7" operator="equal">
      <formula>"4 - Proficient"</formula>
    </cfRule>
    <cfRule type="cellIs" dxfId="117" priority="8" operator="equal">
      <formula>"3 - Competent"</formula>
    </cfRule>
    <cfRule type="cellIs" dxfId="116" priority="9" operator="equal">
      <formula>"2 - Developing"</formula>
    </cfRule>
    <cfRule type="cellIs" dxfId="115" priority="10" operator="equal">
      <formula>"1 - Basic"</formula>
    </cfRule>
  </conditionalFormatting>
  <conditionalFormatting sqref="C23">
    <cfRule type="cellIs" dxfId="114" priority="1" operator="equal">
      <formula>"5 - Mastery"</formula>
    </cfRule>
    <cfRule type="cellIs" dxfId="113" priority="2" operator="equal">
      <formula>"4 - Proficient"</formula>
    </cfRule>
    <cfRule type="cellIs" dxfId="112" priority="3" operator="equal">
      <formula>"3 - Competent"</formula>
    </cfRule>
    <cfRule type="cellIs" dxfId="111" priority="4" operator="equal">
      <formula>"2 - Developing"</formula>
    </cfRule>
    <cfRule type="cellIs" dxfId="110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A42B66-B2E8-4744-B16F-4117DB2F7879}">
          <x14:formula1>
            <xm:f>Data!$A$2:$A$6</xm:f>
          </x14:formula1>
          <xm:sqref>C3 C18 C8 C13 C23</xm:sqref>
        </x14:dataValidation>
        <x14:dataValidation type="list" allowBlank="1" showInputMessage="1" showErrorMessage="1" xr:uid="{7ACA41DC-0813-4368-ABED-A8688994F7F3}">
          <x14:formula1>
            <xm:f>Data!$D$2:$D$4</xm:f>
          </x14:formula1>
          <xm:sqref>B3 B18 B8 B13 B23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40D8-1ABC-469E-9572-C681BD90FCE5}">
  <dimension ref="A1:G27"/>
  <sheetViews>
    <sheetView zoomScale="130" zoomScaleNormal="130" workbookViewId="0">
      <selection activeCell="A3" sqref="A3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7" ht="29.15" customHeight="1" thickBot="1" x14ac:dyDescent="0.45">
      <c r="A1" s="40" t="s">
        <v>276</v>
      </c>
      <c r="B1" s="40"/>
      <c r="C1" s="40"/>
      <c r="D1" s="40"/>
      <c r="E1" s="40"/>
    </row>
    <row r="2" spans="1:7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7" s="3" customFormat="1" ht="29.6" customHeight="1" thickTop="1" x14ac:dyDescent="0.4">
      <c r="A3" s="18" t="str">
        <f>Data!A70</f>
        <v>Rest and Sleep</v>
      </c>
      <c r="B3" s="35" t="s">
        <v>257</v>
      </c>
      <c r="C3" s="35" t="s">
        <v>264</v>
      </c>
      <c r="D3" s="36"/>
      <c r="E3" s="37"/>
      <c r="G3" t="s">
        <v>95</v>
      </c>
    </row>
    <row r="4" spans="1:7" ht="43.85" customHeight="1" x14ac:dyDescent="0.4">
      <c r="A4" s="4" t="s">
        <v>3</v>
      </c>
      <c r="B4" s="21"/>
      <c r="C4" s="21"/>
      <c r="D4" s="21"/>
      <c r="E4" s="22"/>
      <c r="G4" t="s">
        <v>96</v>
      </c>
    </row>
    <row r="5" spans="1:7" x14ac:dyDescent="0.4">
      <c r="A5" s="33" t="s">
        <v>260</v>
      </c>
      <c r="B5" s="32"/>
      <c r="C5" s="32"/>
      <c r="D5" s="32" t="s">
        <v>266</v>
      </c>
      <c r="E5" s="34"/>
      <c r="G5" t="s">
        <v>97</v>
      </c>
    </row>
    <row r="6" spans="1:7" ht="29.15" customHeight="1" thickBot="1" x14ac:dyDescent="0.45">
      <c r="A6" s="10" t="str">
        <f>IF(B3="Beginner",Data!B70,IF(B3="Intermediate",Data!C70,IF(B3="Advanced",Data!D70,"No Rating")))</f>
        <v>Irregular sleep; poor recovery.</v>
      </c>
      <c r="B6" s="11"/>
      <c r="C6" s="11"/>
      <c r="D6" s="11" t="str">
        <f>IF(B3="Beginner",Data!C70,IF(B3="Intermediate",Data!D70,"No Rating"))</f>
        <v>Improving rest habits.</v>
      </c>
      <c r="E6" s="12"/>
      <c r="G6" t="s">
        <v>98</v>
      </c>
    </row>
    <row r="7" spans="1:7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  <c r="G7" t="s">
        <v>99</v>
      </c>
    </row>
    <row r="8" spans="1:7" ht="29.6" customHeight="1" thickTop="1" x14ac:dyDescent="0.4">
      <c r="A8" s="8" t="str">
        <f>Data!A71</f>
        <v>Nutrition and Hydration</v>
      </c>
      <c r="B8" s="9" t="s">
        <v>257</v>
      </c>
      <c r="C8" s="9" t="s">
        <v>271</v>
      </c>
      <c r="D8" s="23"/>
      <c r="E8" s="24"/>
    </row>
    <row r="9" spans="1:7" ht="45.55" customHeight="1" x14ac:dyDescent="0.4">
      <c r="A9" s="4" t="s">
        <v>3</v>
      </c>
      <c r="B9" s="21"/>
      <c r="C9" s="21"/>
      <c r="D9" s="21"/>
      <c r="E9" s="22"/>
    </row>
    <row r="10" spans="1:7" x14ac:dyDescent="0.4">
      <c r="A10" s="33" t="s">
        <v>260</v>
      </c>
      <c r="B10" s="32"/>
      <c r="C10" s="32"/>
      <c r="D10" s="32" t="s">
        <v>266</v>
      </c>
      <c r="E10" s="34"/>
    </row>
    <row r="11" spans="1:7" ht="30.45" customHeight="1" thickBot="1" x14ac:dyDescent="0.45">
      <c r="A11" s="10" t="str">
        <f>IF(B8="Beginner",Data!B71,IF(B8="Intermediate",Data!C71,IF(B8="Advanced",Data!D71,"No Rating")))</f>
        <v>Unaware of fueling needs.</v>
      </c>
      <c r="B11" s="11"/>
      <c r="C11" s="11"/>
      <c r="D11" s="11" t="str">
        <f>IF(B8="Beginner",Data!C71,IF(B8="Intermediate",Data!D71,"No Rating"))</f>
        <v>Basic hydration and nutrition habits.</v>
      </c>
      <c r="E11" s="12"/>
    </row>
    <row r="12" spans="1:7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7" ht="30" customHeight="1" thickTop="1" x14ac:dyDescent="0.4">
      <c r="A13" s="13" t="str">
        <f>Data!A72</f>
        <v>Warm-up/Cool-down</v>
      </c>
      <c r="B13" s="17" t="s">
        <v>257</v>
      </c>
      <c r="C13" s="17" t="s">
        <v>262</v>
      </c>
      <c r="D13" s="25"/>
      <c r="E13" s="26"/>
    </row>
    <row r="14" spans="1:7" ht="44.6" customHeight="1" x14ac:dyDescent="0.4">
      <c r="A14" s="4" t="s">
        <v>3</v>
      </c>
      <c r="B14" s="21"/>
      <c r="C14" s="21"/>
      <c r="D14" s="21"/>
      <c r="E14" s="22"/>
    </row>
    <row r="15" spans="1:7" x14ac:dyDescent="0.4">
      <c r="A15" s="33" t="s">
        <v>260</v>
      </c>
      <c r="B15" s="32"/>
      <c r="C15" s="32"/>
      <c r="D15" s="32" t="s">
        <v>266</v>
      </c>
      <c r="E15" s="34"/>
    </row>
    <row r="16" spans="1:7" ht="27.9" customHeight="1" thickBot="1" x14ac:dyDescent="0.45">
      <c r="A16" s="10" t="str">
        <f>IF(B13="Beginner",Data!B72,IF(B13="Intermediate",Data!C72,IF(B13="Advanced",Data!D72,"No Rating")))</f>
        <v>Skips or rushes warm-up.</v>
      </c>
      <c r="B16" s="11"/>
      <c r="C16" s="11"/>
      <c r="D16" s="11" t="str">
        <f>IF(B13="Beginner",Data!C72,IF(B13="Intermediate",Data!D72,"No Rating"))</f>
        <v>Performs basic routines.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Data!A73</f>
        <v>Prehab Exercises</v>
      </c>
      <c r="B18" s="19" t="s">
        <v>257</v>
      </c>
      <c r="C18" s="19" t="s">
        <v>262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IF(B18="Beginner",Data!B73,IF(B18="Intermediate",Data!C73,IF(B18="Advanced",Data!D73,"No Rating")))</f>
        <v>Does not perform injury prevention.</v>
      </c>
      <c r="B21" s="6"/>
      <c r="C21" s="6"/>
      <c r="D21" s="6" t="str">
        <f>IF(B18="Beginner",Data!C73,IF(B18="Intermediate",Data!D73,"No Rating"))</f>
        <v>Occasional prehab work.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38" t="str">
        <f>Data!A74</f>
        <v>Injury Management Awareness</v>
      </c>
      <c r="B23" s="19" t="s">
        <v>257</v>
      </c>
      <c r="C23" s="19" t="s">
        <v>262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IF(B23="Beginner",Data!B74,IF(B23="Intermediate",Data!C74,IF(B23="Advanced",Data!D74,"No Rating")))</f>
        <v>Plays through pain; lacks awareness.</v>
      </c>
      <c r="B26" s="11"/>
      <c r="C26" s="11"/>
      <c r="D26" s="11" t="str">
        <f>IF(B23="Beginner",Data!C74,IF(B23="Intermediate",Data!D74,"No Rating"))</f>
        <v>Reports issues; seeks help.</v>
      </c>
      <c r="E26" s="12"/>
    </row>
    <row r="27" spans="1:5" ht="15" thickTop="1" x14ac:dyDescent="0.4"/>
  </sheetData>
  <mergeCells count="26">
    <mergeCell ref="B24:E24"/>
    <mergeCell ref="A25:C25"/>
    <mergeCell ref="D25:E25"/>
    <mergeCell ref="A26:C26"/>
    <mergeCell ref="D26:E26"/>
    <mergeCell ref="A1:E1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109" priority="21" operator="equal">
      <formula>"5 - Mastery"</formula>
    </cfRule>
    <cfRule type="cellIs" dxfId="108" priority="22" operator="equal">
      <formula>"4 - Proficient"</formula>
    </cfRule>
    <cfRule type="cellIs" dxfId="107" priority="23" operator="equal">
      <formula>"3 - Competent"</formula>
    </cfRule>
    <cfRule type="cellIs" dxfId="106" priority="24" operator="equal">
      <formula>"2 - Developing"</formula>
    </cfRule>
    <cfRule type="cellIs" dxfId="105" priority="25" operator="equal">
      <formula>"1 - Basic"</formula>
    </cfRule>
  </conditionalFormatting>
  <conditionalFormatting sqref="C13">
    <cfRule type="cellIs" dxfId="104" priority="16" operator="equal">
      <formula>"5 - Mastery"</formula>
    </cfRule>
    <cfRule type="cellIs" dxfId="103" priority="17" operator="equal">
      <formula>"4 - Proficient"</formula>
    </cfRule>
    <cfRule type="cellIs" dxfId="102" priority="18" operator="equal">
      <formula>"3 - Competent"</formula>
    </cfRule>
    <cfRule type="cellIs" dxfId="101" priority="19" operator="equal">
      <formula>"2 - Developing"</formula>
    </cfRule>
    <cfRule type="cellIs" dxfId="100" priority="20" operator="equal">
      <formula>"1 - Basic"</formula>
    </cfRule>
  </conditionalFormatting>
  <conditionalFormatting sqref="C18">
    <cfRule type="cellIs" dxfId="99" priority="11" operator="equal">
      <formula>"5 - Mastery"</formula>
    </cfRule>
    <cfRule type="cellIs" dxfId="98" priority="12" operator="equal">
      <formula>"4 - Proficient"</formula>
    </cfRule>
    <cfRule type="cellIs" dxfId="97" priority="13" operator="equal">
      <formula>"3 - Competent"</formula>
    </cfRule>
    <cfRule type="cellIs" dxfId="96" priority="14" operator="equal">
      <formula>"2 - Developing"</formula>
    </cfRule>
    <cfRule type="cellIs" dxfId="95" priority="15" operator="equal">
      <formula>"1 - Basic"</formula>
    </cfRule>
  </conditionalFormatting>
  <conditionalFormatting sqref="C8">
    <cfRule type="cellIs" dxfId="94" priority="6" operator="equal">
      <formula>"5 - Mastery"</formula>
    </cfRule>
    <cfRule type="cellIs" dxfId="93" priority="7" operator="equal">
      <formula>"4 - Proficient"</formula>
    </cfRule>
    <cfRule type="cellIs" dxfId="92" priority="8" operator="equal">
      <formula>"3 - Competent"</formula>
    </cfRule>
    <cfRule type="cellIs" dxfId="91" priority="9" operator="equal">
      <formula>"2 - Developing"</formula>
    </cfRule>
    <cfRule type="cellIs" dxfId="90" priority="10" operator="equal">
      <formula>"1 - Basic"</formula>
    </cfRule>
  </conditionalFormatting>
  <conditionalFormatting sqref="C23">
    <cfRule type="cellIs" dxfId="89" priority="1" operator="equal">
      <formula>"5 - Mastery"</formula>
    </cfRule>
    <cfRule type="cellIs" dxfId="88" priority="2" operator="equal">
      <formula>"4 - Proficient"</formula>
    </cfRule>
    <cfRule type="cellIs" dxfId="87" priority="3" operator="equal">
      <formula>"3 - Competent"</formula>
    </cfRule>
    <cfRule type="cellIs" dxfId="86" priority="4" operator="equal">
      <formula>"2 - Developing"</formula>
    </cfRule>
    <cfRule type="cellIs" dxfId="85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DB385C2-EBC9-4D46-A8A0-AFB9A199B88D}">
          <x14:formula1>
            <xm:f>Data!$D$2:$D$4</xm:f>
          </x14:formula1>
          <xm:sqref>B3 B18 B8 B13 B23</xm:sqref>
        </x14:dataValidation>
        <x14:dataValidation type="list" allowBlank="1" showInputMessage="1" showErrorMessage="1" xr:uid="{50B87124-DA8F-4AFE-9ECA-4E26F95E34C5}">
          <x14:formula1>
            <xm:f>Data!$A$2:$A$6</xm:f>
          </x14:formula1>
          <xm:sqref>C3 C18 C8 C13 C23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1332-8198-4538-8D2F-2A07A0E9D752}">
  <dimension ref="A1:G27"/>
  <sheetViews>
    <sheetView zoomScale="130" zoomScaleNormal="130" workbookViewId="0">
      <selection activeCell="A3" sqref="A3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7" ht="30" customHeight="1" thickBot="1" x14ac:dyDescent="0.45">
      <c r="A1" s="40" t="s">
        <v>277</v>
      </c>
      <c r="B1" s="40"/>
      <c r="C1" s="40"/>
      <c r="D1" s="40"/>
      <c r="E1" s="40"/>
    </row>
    <row r="2" spans="1:7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7" s="3" customFormat="1" ht="29.6" customHeight="1" thickTop="1" x14ac:dyDescent="0.4">
      <c r="A3" s="38" t="str">
        <f>Data!A77</f>
        <v>Player–Coach Dialogue</v>
      </c>
      <c r="B3" s="35" t="s">
        <v>257</v>
      </c>
      <c r="C3" s="35" t="s">
        <v>264</v>
      </c>
      <c r="D3" s="36"/>
      <c r="E3" s="37"/>
      <c r="G3" t="s">
        <v>95</v>
      </c>
    </row>
    <row r="4" spans="1:7" ht="43.85" customHeight="1" x14ac:dyDescent="0.4">
      <c r="A4" s="4" t="s">
        <v>3</v>
      </c>
      <c r="B4" s="21"/>
      <c r="C4" s="21"/>
      <c r="D4" s="21"/>
      <c r="E4" s="22"/>
      <c r="G4" t="s">
        <v>96</v>
      </c>
    </row>
    <row r="5" spans="1:7" x14ac:dyDescent="0.4">
      <c r="A5" s="33" t="s">
        <v>260</v>
      </c>
      <c r="B5" s="32"/>
      <c r="C5" s="32"/>
      <c r="D5" s="32" t="s">
        <v>266</v>
      </c>
      <c r="E5" s="34"/>
      <c r="G5" t="s">
        <v>97</v>
      </c>
    </row>
    <row r="6" spans="1:7" ht="29.15" customHeight="1" thickBot="1" x14ac:dyDescent="0.45">
      <c r="A6" s="10" t="str">
        <f>IF(B3="Beginner",Data!B77,IF(B3="Intermediate",Data!C77,IF(B3="Advanced",Data!D77,"No Rating")))</f>
        <v>Minimal communication.</v>
      </c>
      <c r="B6" s="11"/>
      <c r="C6" s="11"/>
      <c r="D6" s="11" t="str">
        <f>IF(B3="Beginner",Data!C77,IF(B3="Intermediate",Data!D77,"No Rating"))</f>
        <v>Shares feedback occasionally.</v>
      </c>
      <c r="E6" s="12"/>
      <c r="G6" t="s">
        <v>98</v>
      </c>
    </row>
    <row r="7" spans="1:7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  <c r="G7" t="s">
        <v>99</v>
      </c>
    </row>
    <row r="8" spans="1:7" ht="29.6" customHeight="1" thickTop="1" x14ac:dyDescent="0.4">
      <c r="A8" s="39" t="str">
        <f>Data!A78</f>
        <v>Journaling/Match Notes</v>
      </c>
      <c r="B8" s="9" t="s">
        <v>257</v>
      </c>
      <c r="C8" s="9" t="s">
        <v>271</v>
      </c>
      <c r="D8" s="23"/>
      <c r="E8" s="24"/>
    </row>
    <row r="9" spans="1:7" ht="45.55" customHeight="1" x14ac:dyDescent="0.4">
      <c r="A9" s="4" t="s">
        <v>3</v>
      </c>
      <c r="B9" s="21"/>
      <c r="C9" s="21"/>
      <c r="D9" s="21"/>
      <c r="E9" s="22"/>
    </row>
    <row r="10" spans="1:7" x14ac:dyDescent="0.4">
      <c r="A10" s="33" t="s">
        <v>260</v>
      </c>
      <c r="B10" s="32"/>
      <c r="C10" s="32"/>
      <c r="D10" s="32" t="s">
        <v>266</v>
      </c>
      <c r="E10" s="34"/>
    </row>
    <row r="11" spans="1:7" ht="30.45" customHeight="1" thickBot="1" x14ac:dyDescent="0.45">
      <c r="A11" s="10" t="str">
        <f>IF(B8="Beginner",Data!B78,IF(B8="Intermediate",Data!C78,IF(B8="Advanced",Data!D78,"No Rating")))</f>
        <v>Does not reflect on matches.</v>
      </c>
      <c r="B11" s="11"/>
      <c r="C11" s="11"/>
      <c r="D11" s="11" t="str">
        <f>IF(B8="Beginner",Data!C78,IF(B8="Intermediate",Data!D78,"No Rating"))</f>
        <v>Occasional notes or journaling.</v>
      </c>
      <c r="E11" s="12"/>
    </row>
    <row r="12" spans="1:7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7" ht="30" customHeight="1" thickTop="1" x14ac:dyDescent="0.4">
      <c r="A13" s="13" t="str">
        <f>Data!A79</f>
        <v>Video Analysis</v>
      </c>
      <c r="B13" s="17" t="s">
        <v>257</v>
      </c>
      <c r="C13" s="17" t="s">
        <v>262</v>
      </c>
      <c r="D13" s="25"/>
      <c r="E13" s="26"/>
    </row>
    <row r="14" spans="1:7" ht="44.6" customHeight="1" x14ac:dyDescent="0.4">
      <c r="A14" s="4" t="s">
        <v>3</v>
      </c>
      <c r="B14" s="21"/>
      <c r="C14" s="21"/>
      <c r="D14" s="21"/>
      <c r="E14" s="22"/>
    </row>
    <row r="15" spans="1:7" x14ac:dyDescent="0.4">
      <c r="A15" s="33" t="s">
        <v>260</v>
      </c>
      <c r="B15" s="32"/>
      <c r="C15" s="32"/>
      <c r="D15" s="32" t="s">
        <v>266</v>
      </c>
      <c r="E15" s="34"/>
    </row>
    <row r="16" spans="1:7" ht="27.9" customHeight="1" thickBot="1" x14ac:dyDescent="0.45">
      <c r="A16" s="10" t="str">
        <f>IF(B13="Beginner",Data!B79,IF(B13="Intermediate",Data!C79,IF(B13="Advanced",Data!D79,"No Rating")))</f>
        <v>Rarely watches footage.</v>
      </c>
      <c r="B16" s="11"/>
      <c r="C16" s="11"/>
      <c r="D16" s="11" t="str">
        <f>IF(B13="Beginner",Data!C79,IF(B13="Intermediate",Data!D79,"No Rating"))</f>
        <v>Watches with coach occasionally.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Data!A80</f>
        <v>Goal Setting</v>
      </c>
      <c r="B18" s="19" t="s">
        <v>257</v>
      </c>
      <c r="C18" s="19" t="s">
        <v>262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IF(B18="Beginner",Data!B80,IF(B18="Intermediate",Data!C80,IF(B18="Advanced",Data!D80,"No Rating")))</f>
        <v>No clear goals.</v>
      </c>
      <c r="B21" s="6"/>
      <c r="C21" s="6"/>
      <c r="D21" s="6" t="str">
        <f>IF(B18="Beginner",Data!C80,IF(B18="Intermediate",Data!D80,"No Rating"))</f>
        <v>Sets short-term goals.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38" t="str">
        <f>Data!A81</f>
        <v>Peer Feedback</v>
      </c>
      <c r="B23" s="19" t="s">
        <v>257</v>
      </c>
      <c r="C23" s="19" t="s">
        <v>262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IF(B23="Beginner",Data!B81,IF(B23="Intermediate",Data!C81,IF(B23="Advanced",Data!D81,"No Rating")))</f>
        <v>Avoids feedback.</v>
      </c>
      <c r="B26" s="11"/>
      <c r="C26" s="11"/>
      <c r="D26" s="11" t="str">
        <f>IF(B23="Beginner",Data!C81,IF(B23="Intermediate",Data!D81,"No Rating"))</f>
        <v>Accepts feedback when prompted.</v>
      </c>
      <c r="E26" s="12"/>
    </row>
    <row r="27" spans="1:5" ht="15" thickTop="1" x14ac:dyDescent="0.4"/>
  </sheetData>
  <mergeCells count="26">
    <mergeCell ref="B24:E24"/>
    <mergeCell ref="A25:C25"/>
    <mergeCell ref="D25:E25"/>
    <mergeCell ref="A26:C26"/>
    <mergeCell ref="D26:E26"/>
    <mergeCell ref="A1:E1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84" priority="21" operator="equal">
      <formula>"5 - Mastery"</formula>
    </cfRule>
    <cfRule type="cellIs" dxfId="83" priority="22" operator="equal">
      <formula>"4 - Proficient"</formula>
    </cfRule>
    <cfRule type="cellIs" dxfId="82" priority="23" operator="equal">
      <formula>"3 - Competent"</formula>
    </cfRule>
    <cfRule type="cellIs" dxfId="81" priority="24" operator="equal">
      <formula>"2 - Developing"</formula>
    </cfRule>
    <cfRule type="cellIs" dxfId="80" priority="25" operator="equal">
      <formula>"1 - Basic"</formula>
    </cfRule>
  </conditionalFormatting>
  <conditionalFormatting sqref="C13">
    <cfRule type="cellIs" dxfId="79" priority="16" operator="equal">
      <formula>"5 - Mastery"</formula>
    </cfRule>
    <cfRule type="cellIs" dxfId="78" priority="17" operator="equal">
      <formula>"4 - Proficient"</formula>
    </cfRule>
    <cfRule type="cellIs" dxfId="77" priority="18" operator="equal">
      <formula>"3 - Competent"</formula>
    </cfRule>
    <cfRule type="cellIs" dxfId="76" priority="19" operator="equal">
      <formula>"2 - Developing"</formula>
    </cfRule>
    <cfRule type="cellIs" dxfId="75" priority="20" operator="equal">
      <formula>"1 - Basic"</formula>
    </cfRule>
  </conditionalFormatting>
  <conditionalFormatting sqref="C18">
    <cfRule type="cellIs" dxfId="74" priority="11" operator="equal">
      <formula>"5 - Mastery"</formula>
    </cfRule>
    <cfRule type="cellIs" dxfId="73" priority="12" operator="equal">
      <formula>"4 - Proficient"</formula>
    </cfRule>
    <cfRule type="cellIs" dxfId="72" priority="13" operator="equal">
      <formula>"3 - Competent"</formula>
    </cfRule>
    <cfRule type="cellIs" dxfId="71" priority="14" operator="equal">
      <formula>"2 - Developing"</formula>
    </cfRule>
    <cfRule type="cellIs" dxfId="70" priority="15" operator="equal">
      <formula>"1 - Basic"</formula>
    </cfRule>
  </conditionalFormatting>
  <conditionalFormatting sqref="C8">
    <cfRule type="cellIs" dxfId="69" priority="6" operator="equal">
      <formula>"5 - Mastery"</formula>
    </cfRule>
    <cfRule type="cellIs" dxfId="68" priority="7" operator="equal">
      <formula>"4 - Proficient"</formula>
    </cfRule>
    <cfRule type="cellIs" dxfId="67" priority="8" operator="equal">
      <formula>"3 - Competent"</formula>
    </cfRule>
    <cfRule type="cellIs" dxfId="66" priority="9" operator="equal">
      <formula>"2 - Developing"</formula>
    </cfRule>
    <cfRule type="cellIs" dxfId="65" priority="10" operator="equal">
      <formula>"1 - Basic"</formula>
    </cfRule>
  </conditionalFormatting>
  <conditionalFormatting sqref="C23">
    <cfRule type="cellIs" dxfId="64" priority="1" operator="equal">
      <formula>"5 - Mastery"</formula>
    </cfRule>
    <cfRule type="cellIs" dxfId="63" priority="2" operator="equal">
      <formula>"4 - Proficient"</formula>
    </cfRule>
    <cfRule type="cellIs" dxfId="62" priority="3" operator="equal">
      <formula>"3 - Competent"</formula>
    </cfRule>
    <cfRule type="cellIs" dxfId="61" priority="4" operator="equal">
      <formula>"2 - Developing"</formula>
    </cfRule>
    <cfRule type="cellIs" dxfId="60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71880E-EE83-4350-A3A1-110476075344}">
          <x14:formula1>
            <xm:f>Data!$A$2:$A$6</xm:f>
          </x14:formula1>
          <xm:sqref>C3 C18 C8 C13 C23</xm:sqref>
        </x14:dataValidation>
        <x14:dataValidation type="list" allowBlank="1" showInputMessage="1" showErrorMessage="1" xr:uid="{C791E491-FC85-441A-946A-68368267EA0E}">
          <x14:formula1>
            <xm:f>Data!$D$2:$D$4</xm:f>
          </x14:formula1>
          <xm:sqref>B3 B18 B8 B13 B23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D6C9-8F70-4B4B-9AA4-A93E65C870A9}">
  <dimension ref="A1:G27"/>
  <sheetViews>
    <sheetView zoomScale="130" zoomScaleNormal="130" workbookViewId="0">
      <selection activeCell="A3" sqref="A3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7" ht="27.45" customHeight="1" thickBot="1" x14ac:dyDescent="0.45">
      <c r="A1" s="40" t="s">
        <v>278</v>
      </c>
      <c r="B1" s="40"/>
      <c r="C1" s="40"/>
      <c r="D1" s="40"/>
      <c r="E1" s="40"/>
    </row>
    <row r="2" spans="1:7" ht="15.45" thickTop="1" thickBot="1" x14ac:dyDescent="0.45">
      <c r="A2" s="14" t="s">
        <v>272</v>
      </c>
      <c r="B2" s="15" t="s">
        <v>256</v>
      </c>
      <c r="C2" s="15" t="s">
        <v>0</v>
      </c>
      <c r="D2" s="15" t="s">
        <v>1</v>
      </c>
      <c r="E2" s="16" t="s">
        <v>2</v>
      </c>
    </row>
    <row r="3" spans="1:7" s="3" customFormat="1" ht="29.6" customHeight="1" thickTop="1" x14ac:dyDescent="0.4">
      <c r="A3" s="18" t="str">
        <f>Data!A84</f>
        <v>Time Management</v>
      </c>
      <c r="B3" s="35" t="s">
        <v>257</v>
      </c>
      <c r="C3" s="35" t="s">
        <v>264</v>
      </c>
      <c r="D3" s="36"/>
      <c r="E3" s="37"/>
      <c r="G3" t="s">
        <v>95</v>
      </c>
    </row>
    <row r="4" spans="1:7" ht="43.85" customHeight="1" x14ac:dyDescent="0.4">
      <c r="A4" s="4" t="s">
        <v>3</v>
      </c>
      <c r="B4" s="21"/>
      <c r="C4" s="21"/>
      <c r="D4" s="21"/>
      <c r="E4" s="22"/>
      <c r="G4" t="s">
        <v>96</v>
      </c>
    </row>
    <row r="5" spans="1:7" x14ac:dyDescent="0.4">
      <c r="A5" s="33" t="s">
        <v>260</v>
      </c>
      <c r="B5" s="32"/>
      <c r="C5" s="32"/>
      <c r="D5" s="32" t="s">
        <v>266</v>
      </c>
      <c r="E5" s="34"/>
      <c r="G5" t="s">
        <v>97</v>
      </c>
    </row>
    <row r="6" spans="1:7" ht="29.15" customHeight="1" thickBot="1" x14ac:dyDescent="0.45">
      <c r="A6" s="10" t="str">
        <f>IF(B3="Beginner",Data!B84,IF(B3="Intermediate",Data!C84,IF(B3="Advanced",Data!D84,"No Rating")))</f>
        <v>Often late or unprepared.</v>
      </c>
      <c r="B6" s="11"/>
      <c r="C6" s="11"/>
      <c r="D6" s="11" t="str">
        <f>IF(B3="Beginner",Data!C84,IF(B3="Intermediate",Data!D84,"No Rating"))</f>
        <v>Improving punctuality and planning.</v>
      </c>
      <c r="E6" s="12"/>
      <c r="G6" t="s">
        <v>98</v>
      </c>
    </row>
    <row r="7" spans="1:7" ht="15.45" thickTop="1" thickBot="1" x14ac:dyDescent="0.45">
      <c r="A7" s="29" t="s">
        <v>272</v>
      </c>
      <c r="B7" s="30" t="s">
        <v>256</v>
      </c>
      <c r="C7" s="30" t="s">
        <v>0</v>
      </c>
      <c r="D7" s="30" t="s">
        <v>1</v>
      </c>
      <c r="E7" s="31" t="s">
        <v>2</v>
      </c>
      <c r="G7" t="s">
        <v>99</v>
      </c>
    </row>
    <row r="8" spans="1:7" ht="29.6" customHeight="1" thickTop="1" x14ac:dyDescent="0.4">
      <c r="A8" s="8" t="str">
        <f>Data!A85</f>
        <v>Sleep Hygiene</v>
      </c>
      <c r="B8" s="9" t="s">
        <v>257</v>
      </c>
      <c r="C8" s="9" t="s">
        <v>271</v>
      </c>
      <c r="D8" s="23"/>
      <c r="E8" s="24"/>
    </row>
    <row r="9" spans="1:7" ht="45.55" customHeight="1" x14ac:dyDescent="0.4">
      <c r="A9" s="4" t="s">
        <v>3</v>
      </c>
      <c r="B9" s="21"/>
      <c r="C9" s="21"/>
      <c r="D9" s="21"/>
      <c r="E9" s="22"/>
    </row>
    <row r="10" spans="1:7" x14ac:dyDescent="0.4">
      <c r="A10" s="33" t="s">
        <v>260</v>
      </c>
      <c r="B10" s="32"/>
      <c r="C10" s="32"/>
      <c r="D10" s="32" t="s">
        <v>266</v>
      </c>
      <c r="E10" s="34"/>
    </row>
    <row r="11" spans="1:7" ht="30.45" customHeight="1" thickBot="1" x14ac:dyDescent="0.45">
      <c r="A11" s="10" t="str">
        <f>IF(B8="Beginner",Data!B85,IF(B8="Intermediate",Data!C85,IF(B8="Advanced",Data!D85,"No Rating")))</f>
        <v>Irregular sleep schedule.</v>
      </c>
      <c r="B11" s="11"/>
      <c r="C11" s="11"/>
      <c r="D11" s="11" t="str">
        <f>IF(B8="Beginner",Data!C85,IF(B8="Intermediate",Data!D85,"No Rating"))</f>
        <v>Basic awareness of sleep needs.</v>
      </c>
      <c r="E11" s="12"/>
    </row>
    <row r="12" spans="1:7" ht="15.55" customHeight="1" thickTop="1" thickBot="1" x14ac:dyDescent="0.45">
      <c r="A12" s="14" t="s">
        <v>272</v>
      </c>
      <c r="B12" s="15" t="s">
        <v>256</v>
      </c>
      <c r="C12" s="15" t="s">
        <v>0</v>
      </c>
      <c r="D12" s="15" t="s">
        <v>1</v>
      </c>
      <c r="E12" s="16" t="s">
        <v>2</v>
      </c>
    </row>
    <row r="13" spans="1:7" ht="30" customHeight="1" thickTop="1" x14ac:dyDescent="0.4">
      <c r="A13" s="13" t="str">
        <f>Data!A86</f>
        <v>Nutrition Habits</v>
      </c>
      <c r="B13" s="17" t="s">
        <v>257</v>
      </c>
      <c r="C13" s="17" t="s">
        <v>262</v>
      </c>
      <c r="D13" s="25"/>
      <c r="E13" s="26"/>
    </row>
    <row r="14" spans="1:7" ht="44.6" customHeight="1" x14ac:dyDescent="0.4">
      <c r="A14" s="4" t="s">
        <v>3</v>
      </c>
      <c r="B14" s="21"/>
      <c r="C14" s="21"/>
      <c r="D14" s="21"/>
      <c r="E14" s="22"/>
    </row>
    <row r="15" spans="1:7" x14ac:dyDescent="0.4">
      <c r="A15" s="33" t="s">
        <v>260</v>
      </c>
      <c r="B15" s="32"/>
      <c r="C15" s="32"/>
      <c r="D15" s="32" t="s">
        <v>266</v>
      </c>
      <c r="E15" s="34"/>
    </row>
    <row r="16" spans="1:7" ht="27.9" customHeight="1" thickBot="1" x14ac:dyDescent="0.45">
      <c r="A16" s="10" t="str">
        <f>IF(B13="Beginner",Data!B86,IF(B13="Intermediate",Data!C86,IF(B13="Advanced",Data!D86,"No Rating")))</f>
        <v>Poor eating habits.</v>
      </c>
      <c r="B16" s="11"/>
      <c r="C16" s="11"/>
      <c r="D16" s="11" t="str">
        <f>IF(B13="Beginner",Data!C86,IF(B13="Intermediate",Data!D86,"No Rating"))</f>
        <v>Improving food choices.</v>
      </c>
      <c r="E16" s="12"/>
    </row>
    <row r="17" spans="1:5" ht="15.45" thickTop="1" thickBot="1" x14ac:dyDescent="0.45">
      <c r="A17" s="14" t="s">
        <v>272</v>
      </c>
      <c r="B17" s="15" t="s">
        <v>256</v>
      </c>
      <c r="C17" s="15" t="s">
        <v>0</v>
      </c>
      <c r="D17" s="15" t="s">
        <v>1</v>
      </c>
      <c r="E17" s="16" t="s">
        <v>2</v>
      </c>
    </row>
    <row r="18" spans="1:5" ht="30.55" customHeight="1" thickTop="1" x14ac:dyDescent="0.4">
      <c r="A18" s="38" t="str">
        <f>Data!A87</f>
        <v>Professionalism</v>
      </c>
      <c r="B18" s="19" t="s">
        <v>257</v>
      </c>
      <c r="C18" s="19" t="s">
        <v>262</v>
      </c>
      <c r="D18" s="27"/>
      <c r="E18" s="28"/>
    </row>
    <row r="19" spans="1:5" ht="45.45" customHeight="1" x14ac:dyDescent="0.4">
      <c r="A19" s="4" t="s">
        <v>3</v>
      </c>
      <c r="B19" s="21"/>
      <c r="C19" s="21"/>
      <c r="D19" s="21"/>
      <c r="E19" s="22"/>
    </row>
    <row r="20" spans="1:5" x14ac:dyDescent="0.4">
      <c r="A20" s="33" t="s">
        <v>260</v>
      </c>
      <c r="B20" s="32"/>
      <c r="C20" s="32"/>
      <c r="D20" s="32" t="s">
        <v>266</v>
      </c>
      <c r="E20" s="34"/>
    </row>
    <row r="21" spans="1:5" ht="29.6" customHeight="1" thickBot="1" x14ac:dyDescent="0.45">
      <c r="A21" s="5" t="str">
        <f>IF(B18="Beginner",Data!B87,IF(B18="Intermediate",Data!C87,IF(B18="Advanced",Data!D87,"No Rating")))</f>
        <v>Casual attitude toward training.</v>
      </c>
      <c r="B21" s="6"/>
      <c r="C21" s="6"/>
      <c r="D21" s="6" t="str">
        <f>IF(B18="Beginner",Data!C87,IF(B18="Intermediate",Data!D87,"No Rating"))</f>
        <v>Takes training seriously.</v>
      </c>
      <c r="E21" s="7"/>
    </row>
    <row r="22" spans="1:5" ht="15.45" thickTop="1" thickBot="1" x14ac:dyDescent="0.45">
      <c r="A22" s="14" t="s">
        <v>272</v>
      </c>
      <c r="B22" s="15" t="s">
        <v>256</v>
      </c>
      <c r="C22" s="15" t="s">
        <v>0</v>
      </c>
      <c r="D22" s="15" t="s">
        <v>1</v>
      </c>
      <c r="E22" s="16" t="s">
        <v>2</v>
      </c>
    </row>
    <row r="23" spans="1:5" ht="29.6" customHeight="1" thickTop="1" x14ac:dyDescent="0.4">
      <c r="A23" s="38" t="str">
        <f>Data!A88</f>
        <v>Routine Consistency</v>
      </c>
      <c r="B23" s="19" t="s">
        <v>257</v>
      </c>
      <c r="C23" s="19" t="s">
        <v>262</v>
      </c>
      <c r="D23" s="27"/>
      <c r="E23" s="28"/>
    </row>
    <row r="24" spans="1:5" ht="43.75" customHeight="1" x14ac:dyDescent="0.4">
      <c r="A24" s="4" t="s">
        <v>3</v>
      </c>
      <c r="B24" s="21"/>
      <c r="C24" s="21"/>
      <c r="D24" s="21"/>
      <c r="E24" s="22"/>
    </row>
    <row r="25" spans="1:5" x14ac:dyDescent="0.4">
      <c r="A25" s="33" t="s">
        <v>260</v>
      </c>
      <c r="B25" s="32"/>
      <c r="C25" s="32"/>
      <c r="D25" s="32" t="s">
        <v>266</v>
      </c>
      <c r="E25" s="34"/>
    </row>
    <row r="26" spans="1:5" ht="28.3" customHeight="1" thickBot="1" x14ac:dyDescent="0.45">
      <c r="A26" s="10" t="str">
        <f>IF(B23="Beginner",Data!B88,IF(B23="Intermediate",Data!C88,IF(B23="Advanced",Data!D88,"No Rating")))</f>
        <v>Inconsistent routines.</v>
      </c>
      <c r="B26" s="11"/>
      <c r="C26" s="11"/>
      <c r="D26" s="11" t="str">
        <f>IF(B23="Beginner",Data!C88,IF(B23="Intermediate",Data!D88,"No Rating"))</f>
        <v>Developing habits.</v>
      </c>
      <c r="E26" s="12"/>
    </row>
    <row r="27" spans="1:5" ht="15" thickTop="1" x14ac:dyDescent="0.4"/>
  </sheetData>
  <mergeCells count="26">
    <mergeCell ref="B24:E24"/>
    <mergeCell ref="A25:C25"/>
    <mergeCell ref="D25:E25"/>
    <mergeCell ref="A26:C26"/>
    <mergeCell ref="D26:E26"/>
    <mergeCell ref="A1:E1"/>
    <mergeCell ref="A16:C16"/>
    <mergeCell ref="D16:E16"/>
    <mergeCell ref="B19:E19"/>
    <mergeCell ref="A20:C20"/>
    <mergeCell ref="D20:E20"/>
    <mergeCell ref="A21:C21"/>
    <mergeCell ref="D21:E21"/>
    <mergeCell ref="A10:C10"/>
    <mergeCell ref="D10:E10"/>
    <mergeCell ref="A11:C11"/>
    <mergeCell ref="D11:E11"/>
    <mergeCell ref="B14:E14"/>
    <mergeCell ref="A15:C15"/>
    <mergeCell ref="D15:E15"/>
    <mergeCell ref="B4:E4"/>
    <mergeCell ref="A5:C5"/>
    <mergeCell ref="D5:E5"/>
    <mergeCell ref="A6:C6"/>
    <mergeCell ref="D6:E6"/>
    <mergeCell ref="B9:E9"/>
  </mergeCells>
  <conditionalFormatting sqref="C3">
    <cfRule type="cellIs" dxfId="59" priority="21" operator="equal">
      <formula>"5 - Mastery"</formula>
    </cfRule>
    <cfRule type="cellIs" dxfId="58" priority="22" operator="equal">
      <formula>"4 - Proficient"</formula>
    </cfRule>
    <cfRule type="cellIs" dxfId="57" priority="23" operator="equal">
      <formula>"3 - Competent"</formula>
    </cfRule>
    <cfRule type="cellIs" dxfId="56" priority="24" operator="equal">
      <formula>"2 - Developing"</formula>
    </cfRule>
    <cfRule type="cellIs" dxfId="55" priority="25" operator="equal">
      <formula>"1 - Basic"</formula>
    </cfRule>
  </conditionalFormatting>
  <conditionalFormatting sqref="C13">
    <cfRule type="cellIs" dxfId="54" priority="16" operator="equal">
      <formula>"5 - Mastery"</formula>
    </cfRule>
    <cfRule type="cellIs" dxfId="53" priority="17" operator="equal">
      <formula>"4 - Proficient"</formula>
    </cfRule>
    <cfRule type="cellIs" dxfId="52" priority="18" operator="equal">
      <formula>"3 - Competent"</formula>
    </cfRule>
    <cfRule type="cellIs" dxfId="51" priority="19" operator="equal">
      <formula>"2 - Developing"</formula>
    </cfRule>
    <cfRule type="cellIs" dxfId="50" priority="20" operator="equal">
      <formula>"1 - Basic"</formula>
    </cfRule>
  </conditionalFormatting>
  <conditionalFormatting sqref="C18">
    <cfRule type="cellIs" dxfId="49" priority="11" operator="equal">
      <formula>"5 - Mastery"</formula>
    </cfRule>
    <cfRule type="cellIs" dxfId="48" priority="12" operator="equal">
      <formula>"4 - Proficient"</formula>
    </cfRule>
    <cfRule type="cellIs" dxfId="47" priority="13" operator="equal">
      <formula>"3 - Competent"</formula>
    </cfRule>
    <cfRule type="cellIs" dxfId="46" priority="14" operator="equal">
      <formula>"2 - Developing"</formula>
    </cfRule>
    <cfRule type="cellIs" dxfId="45" priority="15" operator="equal">
      <formula>"1 - Basic"</formula>
    </cfRule>
  </conditionalFormatting>
  <conditionalFormatting sqref="C8">
    <cfRule type="cellIs" dxfId="44" priority="6" operator="equal">
      <formula>"5 - Mastery"</formula>
    </cfRule>
    <cfRule type="cellIs" dxfId="43" priority="7" operator="equal">
      <formula>"4 - Proficient"</formula>
    </cfRule>
    <cfRule type="cellIs" dxfId="42" priority="8" operator="equal">
      <formula>"3 - Competent"</formula>
    </cfRule>
    <cfRule type="cellIs" dxfId="41" priority="9" operator="equal">
      <formula>"2 - Developing"</formula>
    </cfRule>
    <cfRule type="cellIs" dxfId="40" priority="10" operator="equal">
      <formula>"1 - Basic"</formula>
    </cfRule>
  </conditionalFormatting>
  <conditionalFormatting sqref="C23">
    <cfRule type="cellIs" dxfId="39" priority="1" operator="equal">
      <formula>"5 - Mastery"</formula>
    </cfRule>
    <cfRule type="cellIs" dxfId="38" priority="2" operator="equal">
      <formula>"4 - Proficient"</formula>
    </cfRule>
    <cfRule type="cellIs" dxfId="37" priority="3" operator="equal">
      <formula>"3 - Competent"</formula>
    </cfRule>
    <cfRule type="cellIs" dxfId="36" priority="4" operator="equal">
      <formula>"2 - Developing"</formula>
    </cfRule>
    <cfRule type="cellIs" dxfId="35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EE204B9-4A80-4CFE-BFED-35A9C5A8B6BE}">
          <x14:formula1>
            <xm:f>Data!$D$2:$D$4</xm:f>
          </x14:formula1>
          <xm:sqref>B3 B18 B8 B13 B23</xm:sqref>
        </x14:dataValidation>
        <x14:dataValidation type="list" allowBlank="1" showInputMessage="1" showErrorMessage="1" xr:uid="{C2C77E12-B1B4-4EFA-AEA4-71D7FC8264DD}">
          <x14:formula1>
            <xm:f>Data!$A$2:$A$6</xm:f>
          </x14:formula1>
          <xm:sqref>C3 C18 C8 C13 C23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449A-2131-4736-9C5B-4BF7CC392330}">
  <dimension ref="A1:D95"/>
  <sheetViews>
    <sheetView tabSelected="1" topLeftCell="A8" workbookViewId="0">
      <selection activeCell="B5" sqref="B5"/>
    </sheetView>
  </sheetViews>
  <sheetFormatPr defaultRowHeight="14.6" x14ac:dyDescent="0.4"/>
  <cols>
    <col min="1" max="1" width="61.53515625" bestFit="1" customWidth="1"/>
    <col min="2" max="2" width="76.61328125" bestFit="1" customWidth="1"/>
    <col min="3" max="3" width="84.07421875" bestFit="1" customWidth="1"/>
  </cols>
  <sheetData>
    <row r="1" spans="1:4" x14ac:dyDescent="0.4">
      <c r="A1" t="s">
        <v>255</v>
      </c>
      <c r="B1" t="s">
        <v>283</v>
      </c>
      <c r="D1" t="s">
        <v>256</v>
      </c>
    </row>
    <row r="2" spans="1:4" x14ac:dyDescent="0.4">
      <c r="A2" t="s">
        <v>271</v>
      </c>
      <c r="B2" t="s">
        <v>284</v>
      </c>
      <c r="D2" t="s">
        <v>257</v>
      </c>
    </row>
    <row r="3" spans="1:4" x14ac:dyDescent="0.4">
      <c r="A3" t="s">
        <v>262</v>
      </c>
      <c r="B3" t="s">
        <v>285</v>
      </c>
      <c r="D3" t="s">
        <v>258</v>
      </c>
    </row>
    <row r="4" spans="1:4" x14ac:dyDescent="0.4">
      <c r="A4" t="s">
        <v>263</v>
      </c>
      <c r="D4" t="s">
        <v>259</v>
      </c>
    </row>
    <row r="5" spans="1:4" x14ac:dyDescent="0.4">
      <c r="A5" t="s">
        <v>264</v>
      </c>
    </row>
    <row r="6" spans="1:4" x14ac:dyDescent="0.4">
      <c r="A6" t="s">
        <v>265</v>
      </c>
    </row>
    <row r="10" spans="1:4" x14ac:dyDescent="0.4">
      <c r="A10" s="2"/>
      <c r="B10" s="2"/>
    </row>
    <row r="11" spans="1:4" x14ac:dyDescent="0.4">
      <c r="A11" s="2" t="s">
        <v>261</v>
      </c>
      <c r="B11" s="1" t="s">
        <v>4</v>
      </c>
      <c r="C11" s="1" t="s">
        <v>5</v>
      </c>
      <c r="D11" s="1" t="s">
        <v>6</v>
      </c>
    </row>
    <row r="12" spans="1:4" x14ac:dyDescent="0.4">
      <c r="A12" t="s">
        <v>7</v>
      </c>
      <c r="B12" t="s">
        <v>14</v>
      </c>
      <c r="C12" t="s">
        <v>21</v>
      </c>
      <c r="D12" t="s">
        <v>28</v>
      </c>
    </row>
    <row r="13" spans="1:4" x14ac:dyDescent="0.4">
      <c r="A13" t="s">
        <v>8</v>
      </c>
      <c r="B13" t="s">
        <v>15</v>
      </c>
      <c r="C13" t="s">
        <v>22</v>
      </c>
      <c r="D13" t="s">
        <v>29</v>
      </c>
    </row>
    <row r="14" spans="1:4" x14ac:dyDescent="0.4">
      <c r="A14" t="s">
        <v>9</v>
      </c>
      <c r="B14" t="s">
        <v>16</v>
      </c>
      <c r="C14" t="s">
        <v>23</v>
      </c>
      <c r="D14" t="s">
        <v>30</v>
      </c>
    </row>
    <row r="15" spans="1:4" x14ac:dyDescent="0.4">
      <c r="A15" t="s">
        <v>10</v>
      </c>
      <c r="B15" t="s">
        <v>17</v>
      </c>
      <c r="C15" t="s">
        <v>24</v>
      </c>
      <c r="D15" t="s">
        <v>31</v>
      </c>
    </row>
    <row r="16" spans="1:4" x14ac:dyDescent="0.4">
      <c r="A16" t="s">
        <v>11</v>
      </c>
      <c r="B16" t="s">
        <v>18</v>
      </c>
      <c r="C16" t="s">
        <v>25</v>
      </c>
      <c r="D16" t="s">
        <v>32</v>
      </c>
    </row>
    <row r="17" spans="1:4" x14ac:dyDescent="0.4">
      <c r="A17" t="s">
        <v>12</v>
      </c>
      <c r="B17" t="s">
        <v>19</v>
      </c>
      <c r="C17" t="s">
        <v>26</v>
      </c>
      <c r="D17" t="s">
        <v>33</v>
      </c>
    </row>
    <row r="18" spans="1:4" x14ac:dyDescent="0.4">
      <c r="A18" t="s">
        <v>13</v>
      </c>
      <c r="B18" t="s">
        <v>20</v>
      </c>
      <c r="C18" t="s">
        <v>27</v>
      </c>
      <c r="D18" t="s">
        <v>34</v>
      </c>
    </row>
    <row r="20" spans="1:4" x14ac:dyDescent="0.4">
      <c r="A20" s="2" t="s">
        <v>267</v>
      </c>
      <c r="B20" s="1" t="s">
        <v>4</v>
      </c>
      <c r="C20" s="1" t="s">
        <v>5</v>
      </c>
      <c r="D20" s="1" t="s">
        <v>6</v>
      </c>
    </row>
    <row r="21" spans="1:4" x14ac:dyDescent="0.4">
      <c r="A21" t="s">
        <v>35</v>
      </c>
      <c r="B21" t="s">
        <v>40</v>
      </c>
      <c r="C21" t="s">
        <v>45</v>
      </c>
      <c r="D21" t="s">
        <v>50</v>
      </c>
    </row>
    <row r="22" spans="1:4" x14ac:dyDescent="0.4">
      <c r="A22" t="s">
        <v>36</v>
      </c>
      <c r="B22" t="s">
        <v>41</v>
      </c>
      <c r="C22" t="s">
        <v>46</v>
      </c>
      <c r="D22" t="s">
        <v>51</v>
      </c>
    </row>
    <row r="23" spans="1:4" x14ac:dyDescent="0.4">
      <c r="A23" t="s">
        <v>37</v>
      </c>
      <c r="B23" t="s">
        <v>42</v>
      </c>
      <c r="C23" t="s">
        <v>47</v>
      </c>
      <c r="D23" t="s">
        <v>52</v>
      </c>
    </row>
    <row r="24" spans="1:4" x14ac:dyDescent="0.4">
      <c r="A24" t="s">
        <v>38</v>
      </c>
      <c r="B24" t="s">
        <v>43</v>
      </c>
      <c r="C24" t="s">
        <v>48</v>
      </c>
      <c r="D24" t="s">
        <v>53</v>
      </c>
    </row>
    <row r="25" spans="1:4" x14ac:dyDescent="0.4">
      <c r="A25" t="s">
        <v>39</v>
      </c>
      <c r="B25" t="s">
        <v>44</v>
      </c>
      <c r="C25" t="s">
        <v>49</v>
      </c>
      <c r="D25" t="s">
        <v>54</v>
      </c>
    </row>
    <row r="27" spans="1:4" x14ac:dyDescent="0.4">
      <c r="A27" s="2" t="s">
        <v>268</v>
      </c>
      <c r="B27" s="1" t="s">
        <v>4</v>
      </c>
      <c r="C27" s="1" t="s">
        <v>5</v>
      </c>
      <c r="D27" s="1" t="s">
        <v>6</v>
      </c>
    </row>
    <row r="28" spans="1:4" x14ac:dyDescent="0.4">
      <c r="A28" t="s">
        <v>55</v>
      </c>
      <c r="B28" t="s">
        <v>60</v>
      </c>
      <c r="C28" t="s">
        <v>65</v>
      </c>
      <c r="D28" t="s">
        <v>70</v>
      </c>
    </row>
    <row r="29" spans="1:4" x14ac:dyDescent="0.4">
      <c r="A29" t="s">
        <v>56</v>
      </c>
      <c r="B29" t="s">
        <v>61</v>
      </c>
      <c r="C29" t="s">
        <v>66</v>
      </c>
      <c r="D29" t="s">
        <v>71</v>
      </c>
    </row>
    <row r="30" spans="1:4" x14ac:dyDescent="0.4">
      <c r="A30" t="s">
        <v>57</v>
      </c>
      <c r="B30" t="s">
        <v>62</v>
      </c>
      <c r="C30" t="s">
        <v>67</v>
      </c>
      <c r="D30" t="s">
        <v>72</v>
      </c>
    </row>
    <row r="31" spans="1:4" x14ac:dyDescent="0.4">
      <c r="A31" t="s">
        <v>58</v>
      </c>
      <c r="B31" t="s">
        <v>63</v>
      </c>
      <c r="C31" t="s">
        <v>68</v>
      </c>
      <c r="D31" t="s">
        <v>73</v>
      </c>
    </row>
    <row r="32" spans="1:4" x14ac:dyDescent="0.4">
      <c r="A32" t="s">
        <v>59</v>
      </c>
      <c r="B32" t="s">
        <v>64</v>
      </c>
      <c r="C32" t="s">
        <v>69</v>
      </c>
      <c r="D32" t="s">
        <v>74</v>
      </c>
    </row>
    <row r="34" spans="1:4" x14ac:dyDescent="0.4">
      <c r="A34" s="2" t="s">
        <v>269</v>
      </c>
      <c r="B34" s="1" t="s">
        <v>4</v>
      </c>
      <c r="C34" s="1" t="s">
        <v>5</v>
      </c>
      <c r="D34" s="1" t="s">
        <v>6</v>
      </c>
    </row>
    <row r="35" spans="1:4" x14ac:dyDescent="0.4">
      <c r="A35" t="s">
        <v>75</v>
      </c>
      <c r="B35" t="s">
        <v>80</v>
      </c>
      <c r="C35" t="s">
        <v>85</v>
      </c>
      <c r="D35" t="s">
        <v>90</v>
      </c>
    </row>
    <row r="36" spans="1:4" x14ac:dyDescent="0.4">
      <c r="A36" t="s">
        <v>76</v>
      </c>
      <c r="B36" t="s">
        <v>81</v>
      </c>
      <c r="C36" t="s">
        <v>86</v>
      </c>
      <c r="D36" t="s">
        <v>91</v>
      </c>
    </row>
    <row r="37" spans="1:4" x14ac:dyDescent="0.4">
      <c r="A37" t="s">
        <v>77</v>
      </c>
      <c r="B37" t="s">
        <v>82</v>
      </c>
      <c r="C37" t="s">
        <v>87</v>
      </c>
      <c r="D37" t="s">
        <v>92</v>
      </c>
    </row>
    <row r="38" spans="1:4" x14ac:dyDescent="0.4">
      <c r="A38" t="s">
        <v>78</v>
      </c>
      <c r="B38" t="s">
        <v>83</v>
      </c>
      <c r="C38" t="s">
        <v>88</v>
      </c>
      <c r="D38" t="s">
        <v>93</v>
      </c>
    </row>
    <row r="39" spans="1:4" x14ac:dyDescent="0.4">
      <c r="A39" t="s">
        <v>79</v>
      </c>
      <c r="B39" t="s">
        <v>84</v>
      </c>
      <c r="C39" t="s">
        <v>89</v>
      </c>
      <c r="D39" t="s">
        <v>94</v>
      </c>
    </row>
    <row r="41" spans="1:4" x14ac:dyDescent="0.4">
      <c r="A41" s="2" t="s">
        <v>270</v>
      </c>
      <c r="B41" s="1" t="s">
        <v>4</v>
      </c>
      <c r="C41" s="1" t="s">
        <v>5</v>
      </c>
      <c r="D41" s="1" t="s">
        <v>6</v>
      </c>
    </row>
    <row r="42" spans="1:4" x14ac:dyDescent="0.4">
      <c r="A42" t="s">
        <v>95</v>
      </c>
      <c r="B42" t="s">
        <v>100</v>
      </c>
      <c r="C42" t="s">
        <v>105</v>
      </c>
      <c r="D42" t="s">
        <v>110</v>
      </c>
    </row>
    <row r="43" spans="1:4" x14ac:dyDescent="0.4">
      <c r="A43" t="s">
        <v>96</v>
      </c>
      <c r="B43" t="s">
        <v>101</v>
      </c>
      <c r="C43" t="s">
        <v>106</v>
      </c>
      <c r="D43" t="s">
        <v>111</v>
      </c>
    </row>
    <row r="44" spans="1:4" x14ac:dyDescent="0.4">
      <c r="A44" t="s">
        <v>97</v>
      </c>
      <c r="B44" t="s">
        <v>102</v>
      </c>
      <c r="C44" t="s">
        <v>107</v>
      </c>
      <c r="D44" t="s">
        <v>112</v>
      </c>
    </row>
    <row r="45" spans="1:4" x14ac:dyDescent="0.4">
      <c r="A45" t="s">
        <v>98</v>
      </c>
      <c r="B45" t="s">
        <v>103</v>
      </c>
      <c r="C45" t="s">
        <v>108</v>
      </c>
      <c r="D45" t="s">
        <v>113</v>
      </c>
    </row>
    <row r="46" spans="1:4" x14ac:dyDescent="0.4">
      <c r="A46" t="s">
        <v>99</v>
      </c>
      <c r="B46" t="s">
        <v>104</v>
      </c>
      <c r="C46" t="s">
        <v>109</v>
      </c>
      <c r="D46" t="s">
        <v>114</v>
      </c>
    </row>
    <row r="48" spans="1:4" x14ac:dyDescent="0.4">
      <c r="A48" s="2" t="s">
        <v>273</v>
      </c>
      <c r="B48" s="1" t="s">
        <v>4</v>
      </c>
      <c r="C48" s="1" t="s">
        <v>5</v>
      </c>
      <c r="D48" s="1" t="s">
        <v>6</v>
      </c>
    </row>
    <row r="49" spans="1:4" x14ac:dyDescent="0.4">
      <c r="A49" t="s">
        <v>115</v>
      </c>
      <c r="B49" t="s">
        <v>120</v>
      </c>
      <c r="C49" t="s">
        <v>125</v>
      </c>
      <c r="D49" t="s">
        <v>130</v>
      </c>
    </row>
    <row r="50" spans="1:4" x14ac:dyDescent="0.4">
      <c r="A50" t="s">
        <v>116</v>
      </c>
      <c r="B50" t="s">
        <v>121</v>
      </c>
      <c r="C50" t="s">
        <v>126</v>
      </c>
      <c r="D50" t="s">
        <v>131</v>
      </c>
    </row>
    <row r="51" spans="1:4" x14ac:dyDescent="0.4">
      <c r="A51" t="s">
        <v>117</v>
      </c>
      <c r="B51" t="s">
        <v>122</v>
      </c>
      <c r="C51" t="s">
        <v>127</v>
      </c>
      <c r="D51" t="s">
        <v>132</v>
      </c>
    </row>
    <row r="52" spans="1:4" x14ac:dyDescent="0.4">
      <c r="A52" t="s">
        <v>118</v>
      </c>
      <c r="B52" t="s">
        <v>123</v>
      </c>
      <c r="C52" t="s">
        <v>128</v>
      </c>
      <c r="D52" t="s">
        <v>133</v>
      </c>
    </row>
    <row r="53" spans="1:4" x14ac:dyDescent="0.4">
      <c r="A53" t="s">
        <v>119</v>
      </c>
      <c r="B53" t="s">
        <v>124</v>
      </c>
      <c r="C53" t="s">
        <v>129</v>
      </c>
      <c r="D53" t="s">
        <v>134</v>
      </c>
    </row>
    <row r="55" spans="1:4" x14ac:dyDescent="0.4">
      <c r="A55" s="2" t="s">
        <v>274</v>
      </c>
      <c r="B55" s="1" t="s">
        <v>4</v>
      </c>
      <c r="C55" s="1" t="s">
        <v>5</v>
      </c>
      <c r="D55" s="1" t="s">
        <v>6</v>
      </c>
    </row>
    <row r="56" spans="1:4" x14ac:dyDescent="0.4">
      <c r="A56" t="s">
        <v>135</v>
      </c>
      <c r="B56" t="s">
        <v>140</v>
      </c>
      <c r="C56" t="s">
        <v>145</v>
      </c>
      <c r="D56" t="s">
        <v>150</v>
      </c>
    </row>
    <row r="57" spans="1:4" x14ac:dyDescent="0.4">
      <c r="A57" t="s">
        <v>136</v>
      </c>
      <c r="B57" t="s">
        <v>141</v>
      </c>
      <c r="C57" t="s">
        <v>146</v>
      </c>
      <c r="D57" t="s">
        <v>151</v>
      </c>
    </row>
    <row r="58" spans="1:4" x14ac:dyDescent="0.4">
      <c r="A58" t="s">
        <v>137</v>
      </c>
      <c r="B58" t="s">
        <v>142</v>
      </c>
      <c r="C58" t="s">
        <v>147</v>
      </c>
      <c r="D58" t="s">
        <v>152</v>
      </c>
    </row>
    <row r="59" spans="1:4" x14ac:dyDescent="0.4">
      <c r="A59" t="s">
        <v>138</v>
      </c>
      <c r="B59" t="s">
        <v>143</v>
      </c>
      <c r="C59" t="s">
        <v>148</v>
      </c>
      <c r="D59" t="s">
        <v>153</v>
      </c>
    </row>
    <row r="60" spans="1:4" x14ac:dyDescent="0.4">
      <c r="A60" t="s">
        <v>139</v>
      </c>
      <c r="B60" t="s">
        <v>144</v>
      </c>
      <c r="C60" t="s">
        <v>149</v>
      </c>
      <c r="D60" t="s">
        <v>154</v>
      </c>
    </row>
    <row r="62" spans="1:4" x14ac:dyDescent="0.4">
      <c r="A62" s="2" t="s">
        <v>275</v>
      </c>
      <c r="B62" s="1" t="s">
        <v>4</v>
      </c>
      <c r="C62" s="1" t="s">
        <v>5</v>
      </c>
      <c r="D62" s="1" t="s">
        <v>6</v>
      </c>
    </row>
    <row r="63" spans="1:4" x14ac:dyDescent="0.4">
      <c r="A63" t="s">
        <v>155</v>
      </c>
      <c r="B63" t="s">
        <v>160</v>
      </c>
      <c r="C63" t="s">
        <v>165</v>
      </c>
      <c r="D63" t="s">
        <v>170</v>
      </c>
    </row>
    <row r="64" spans="1:4" x14ac:dyDescent="0.4">
      <c r="A64" t="s">
        <v>156</v>
      </c>
      <c r="B64" t="s">
        <v>161</v>
      </c>
      <c r="C64" t="s">
        <v>166</v>
      </c>
      <c r="D64" t="s">
        <v>171</v>
      </c>
    </row>
    <row r="65" spans="1:4" x14ac:dyDescent="0.4">
      <c r="A65" t="s">
        <v>157</v>
      </c>
      <c r="B65" t="s">
        <v>162</v>
      </c>
      <c r="C65" t="s">
        <v>167</v>
      </c>
      <c r="D65" t="s">
        <v>172</v>
      </c>
    </row>
    <row r="66" spans="1:4" x14ac:dyDescent="0.4">
      <c r="A66" t="s">
        <v>158</v>
      </c>
      <c r="B66" t="s">
        <v>163</v>
      </c>
      <c r="C66" t="s">
        <v>168</v>
      </c>
      <c r="D66" t="s">
        <v>173</v>
      </c>
    </row>
    <row r="67" spans="1:4" x14ac:dyDescent="0.4">
      <c r="A67" t="s">
        <v>159</v>
      </c>
      <c r="B67" t="s">
        <v>164</v>
      </c>
      <c r="C67" t="s">
        <v>169</v>
      </c>
      <c r="D67" t="s">
        <v>174</v>
      </c>
    </row>
    <row r="69" spans="1:4" x14ac:dyDescent="0.4">
      <c r="A69" s="2" t="s">
        <v>276</v>
      </c>
      <c r="B69" s="1" t="s">
        <v>4</v>
      </c>
      <c r="C69" s="1" t="s">
        <v>5</v>
      </c>
      <c r="D69" s="1" t="s">
        <v>6</v>
      </c>
    </row>
    <row r="70" spans="1:4" x14ac:dyDescent="0.4">
      <c r="A70" t="s">
        <v>175</v>
      </c>
      <c r="B70" t="s">
        <v>180</v>
      </c>
      <c r="C70" t="s">
        <v>185</v>
      </c>
      <c r="D70" t="s">
        <v>190</v>
      </c>
    </row>
    <row r="71" spans="1:4" x14ac:dyDescent="0.4">
      <c r="A71" t="s">
        <v>176</v>
      </c>
      <c r="B71" t="s">
        <v>181</v>
      </c>
      <c r="C71" t="s">
        <v>186</v>
      </c>
      <c r="D71" t="s">
        <v>191</v>
      </c>
    </row>
    <row r="72" spans="1:4" x14ac:dyDescent="0.4">
      <c r="A72" t="s">
        <v>177</v>
      </c>
      <c r="B72" t="s">
        <v>182</v>
      </c>
      <c r="C72" t="s">
        <v>187</v>
      </c>
      <c r="D72" t="s">
        <v>192</v>
      </c>
    </row>
    <row r="73" spans="1:4" x14ac:dyDescent="0.4">
      <c r="A73" t="s">
        <v>178</v>
      </c>
      <c r="B73" t="s">
        <v>183</v>
      </c>
      <c r="C73" t="s">
        <v>188</v>
      </c>
      <c r="D73" t="s">
        <v>193</v>
      </c>
    </row>
    <row r="74" spans="1:4" x14ac:dyDescent="0.4">
      <c r="A74" t="s">
        <v>179</v>
      </c>
      <c r="B74" t="s">
        <v>184</v>
      </c>
      <c r="C74" t="s">
        <v>189</v>
      </c>
      <c r="D74" t="s">
        <v>194</v>
      </c>
    </row>
    <row r="76" spans="1:4" x14ac:dyDescent="0.4">
      <c r="A76" s="2" t="s">
        <v>277</v>
      </c>
      <c r="B76" s="1" t="s">
        <v>4</v>
      </c>
      <c r="C76" s="1" t="s">
        <v>5</v>
      </c>
      <c r="D76" s="1" t="s">
        <v>6</v>
      </c>
    </row>
    <row r="77" spans="1:4" x14ac:dyDescent="0.4">
      <c r="A77" t="s">
        <v>195</v>
      </c>
      <c r="B77" t="s">
        <v>200</v>
      </c>
      <c r="C77" t="s">
        <v>205</v>
      </c>
      <c r="D77" t="s">
        <v>210</v>
      </c>
    </row>
    <row r="78" spans="1:4" x14ac:dyDescent="0.4">
      <c r="A78" t="s">
        <v>196</v>
      </c>
      <c r="B78" t="s">
        <v>201</v>
      </c>
      <c r="C78" t="s">
        <v>206</v>
      </c>
      <c r="D78" t="s">
        <v>211</v>
      </c>
    </row>
    <row r="79" spans="1:4" x14ac:dyDescent="0.4">
      <c r="A79" t="s">
        <v>197</v>
      </c>
      <c r="B79" t="s">
        <v>202</v>
      </c>
      <c r="C79" t="s">
        <v>207</v>
      </c>
      <c r="D79" t="s">
        <v>212</v>
      </c>
    </row>
    <row r="80" spans="1:4" x14ac:dyDescent="0.4">
      <c r="A80" t="s">
        <v>198</v>
      </c>
      <c r="B80" t="s">
        <v>203</v>
      </c>
      <c r="C80" t="s">
        <v>208</v>
      </c>
      <c r="D80" t="s">
        <v>213</v>
      </c>
    </row>
    <row r="81" spans="1:4" x14ac:dyDescent="0.4">
      <c r="A81" t="s">
        <v>199</v>
      </c>
      <c r="B81" t="s">
        <v>204</v>
      </c>
      <c r="C81" t="s">
        <v>209</v>
      </c>
      <c r="D81" t="s">
        <v>214</v>
      </c>
    </row>
    <row r="83" spans="1:4" x14ac:dyDescent="0.4">
      <c r="A83" s="2" t="s">
        <v>278</v>
      </c>
      <c r="B83" s="1" t="s">
        <v>4</v>
      </c>
      <c r="C83" s="1" t="s">
        <v>5</v>
      </c>
      <c r="D83" s="1" t="s">
        <v>6</v>
      </c>
    </row>
    <row r="84" spans="1:4" x14ac:dyDescent="0.4">
      <c r="A84" t="s">
        <v>215</v>
      </c>
      <c r="B84" t="s">
        <v>220</v>
      </c>
      <c r="C84" t="s">
        <v>225</v>
      </c>
      <c r="D84" t="s">
        <v>230</v>
      </c>
    </row>
    <row r="85" spans="1:4" x14ac:dyDescent="0.4">
      <c r="A85" t="s">
        <v>216</v>
      </c>
      <c r="B85" t="s">
        <v>221</v>
      </c>
      <c r="C85" t="s">
        <v>226</v>
      </c>
      <c r="D85" t="s">
        <v>231</v>
      </c>
    </row>
    <row r="86" spans="1:4" x14ac:dyDescent="0.4">
      <c r="A86" t="s">
        <v>217</v>
      </c>
      <c r="B86" t="s">
        <v>222</v>
      </c>
      <c r="C86" t="s">
        <v>227</v>
      </c>
      <c r="D86" t="s">
        <v>232</v>
      </c>
    </row>
    <row r="87" spans="1:4" x14ac:dyDescent="0.4">
      <c r="A87" t="s">
        <v>218</v>
      </c>
      <c r="B87" t="s">
        <v>223</v>
      </c>
      <c r="C87" t="s">
        <v>228</v>
      </c>
      <c r="D87" t="s">
        <v>233</v>
      </c>
    </row>
    <row r="88" spans="1:4" x14ac:dyDescent="0.4">
      <c r="A88" t="s">
        <v>219</v>
      </c>
      <c r="B88" t="s">
        <v>224</v>
      </c>
      <c r="C88" t="s">
        <v>229</v>
      </c>
      <c r="D88" t="s">
        <v>234</v>
      </c>
    </row>
    <row r="90" spans="1:4" x14ac:dyDescent="0.4">
      <c r="A90" s="2" t="s">
        <v>279</v>
      </c>
      <c r="B90" s="1" t="s">
        <v>4</v>
      </c>
      <c r="C90" s="1" t="s">
        <v>5</v>
      </c>
      <c r="D90" s="1" t="s">
        <v>6</v>
      </c>
    </row>
    <row r="91" spans="1:4" x14ac:dyDescent="0.4">
      <c r="A91" t="s">
        <v>235</v>
      </c>
      <c r="B91" t="s">
        <v>240</v>
      </c>
      <c r="C91" t="s">
        <v>245</v>
      </c>
      <c r="D91" t="s">
        <v>250</v>
      </c>
    </row>
    <row r="92" spans="1:4" x14ac:dyDescent="0.4">
      <c r="A92" t="s">
        <v>236</v>
      </c>
      <c r="B92" t="s">
        <v>241</v>
      </c>
      <c r="C92" t="s">
        <v>246</v>
      </c>
      <c r="D92" t="s">
        <v>251</v>
      </c>
    </row>
    <row r="93" spans="1:4" x14ac:dyDescent="0.4">
      <c r="A93" t="s">
        <v>237</v>
      </c>
      <c r="B93" t="s">
        <v>242</v>
      </c>
      <c r="C93" t="s">
        <v>247</v>
      </c>
      <c r="D93" t="s">
        <v>252</v>
      </c>
    </row>
    <row r="94" spans="1:4" x14ac:dyDescent="0.4">
      <c r="A94" t="s">
        <v>238</v>
      </c>
      <c r="B94" t="s">
        <v>243</v>
      </c>
      <c r="C94" t="s">
        <v>248</v>
      </c>
      <c r="D94" t="s">
        <v>253</v>
      </c>
    </row>
    <row r="95" spans="1:4" x14ac:dyDescent="0.4">
      <c r="A95" t="s">
        <v>239</v>
      </c>
      <c r="B95" t="s">
        <v>244</v>
      </c>
      <c r="C95" t="s">
        <v>249</v>
      </c>
      <c r="D95" t="s">
        <v>254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219F-4EA8-4560-9C58-D3716625D4F1}">
  <dimension ref="A1:E36"/>
  <sheetViews>
    <sheetView topLeftCell="A5" zoomScale="130" zoomScaleNormal="130" workbookViewId="0">
      <selection activeCell="A34" sqref="A34:E34"/>
    </sheetView>
  </sheetViews>
  <sheetFormatPr defaultRowHeight="14.6" x14ac:dyDescent="0.4"/>
  <cols>
    <col min="1" max="2" width="17.69140625" customWidth="1"/>
    <col min="3" max="3" width="15.765625" customWidth="1"/>
    <col min="4" max="5" width="30.23046875" customWidth="1"/>
  </cols>
  <sheetData>
    <row r="1" spans="1:5" ht="15.45" thickTop="1" thickBot="1" x14ac:dyDescent="0.45">
      <c r="A1" s="14" t="s">
        <v>272</v>
      </c>
      <c r="B1" s="15" t="s">
        <v>256</v>
      </c>
      <c r="C1" s="15" t="s">
        <v>0</v>
      </c>
      <c r="D1" s="15" t="s">
        <v>1</v>
      </c>
      <c r="E1" s="16" t="s">
        <v>2</v>
      </c>
    </row>
    <row r="2" spans="1:5" s="3" customFormat="1" ht="29.6" customHeight="1" thickTop="1" x14ac:dyDescent="0.4">
      <c r="A2" s="18" t="s">
        <v>7</v>
      </c>
      <c r="B2" s="35" t="s">
        <v>257</v>
      </c>
      <c r="C2" s="35" t="s">
        <v>264</v>
      </c>
      <c r="D2" s="36"/>
      <c r="E2" s="37"/>
    </row>
    <row r="3" spans="1:5" ht="43.85" customHeight="1" x14ac:dyDescent="0.4">
      <c r="A3" s="4" t="s">
        <v>3</v>
      </c>
      <c r="B3" s="21"/>
      <c r="C3" s="21"/>
      <c r="D3" s="21"/>
      <c r="E3" s="22"/>
    </row>
    <row r="4" spans="1:5" x14ac:dyDescent="0.4">
      <c r="A4" s="33" t="s">
        <v>260</v>
      </c>
      <c r="B4" s="32"/>
      <c r="C4" s="32"/>
      <c r="D4" s="32" t="s">
        <v>266</v>
      </c>
      <c r="E4" s="34"/>
    </row>
    <row r="5" spans="1:5" ht="29.15" customHeight="1" thickBot="1" x14ac:dyDescent="0.45">
      <c r="A5" s="10" t="str">
        <f>IF(B2="Beginner",Data!B12,IF(B2="Intermediate",Data!C12,IF(B2="Advanced",Data!D12,"No Rating")))</f>
        <v>Basic grip and swing; inconsistent contact; struggles with depth and spin.</v>
      </c>
      <c r="B5" s="11"/>
      <c r="C5" s="11"/>
      <c r="D5" s="11" t="str">
        <f>IF(B2="Beginner",Data!C12,IF(B2="Intermediate",Data!D12,"No Rating"))</f>
        <v>Reliable topspin; can vary direction; moderate pace; occasional use of slice.</v>
      </c>
      <c r="E5" s="12"/>
    </row>
    <row r="6" spans="1:5" ht="15.45" thickTop="1" thickBot="1" x14ac:dyDescent="0.45">
      <c r="A6" s="29" t="s">
        <v>272</v>
      </c>
      <c r="B6" s="30" t="s">
        <v>256</v>
      </c>
      <c r="C6" s="30" t="s">
        <v>0</v>
      </c>
      <c r="D6" s="30" t="s">
        <v>1</v>
      </c>
      <c r="E6" s="31" t="s">
        <v>2</v>
      </c>
    </row>
    <row r="7" spans="1:5" ht="29.6" customHeight="1" thickTop="1" x14ac:dyDescent="0.4">
      <c r="A7" s="8" t="s">
        <v>8</v>
      </c>
      <c r="B7" s="9" t="s">
        <v>257</v>
      </c>
      <c r="C7" s="9" t="s">
        <v>271</v>
      </c>
      <c r="D7" s="23"/>
      <c r="E7" s="24"/>
    </row>
    <row r="8" spans="1:5" ht="45.55" customHeight="1" x14ac:dyDescent="0.4">
      <c r="A8" s="4" t="s">
        <v>3</v>
      </c>
      <c r="B8" s="21"/>
      <c r="C8" s="21"/>
      <c r="D8" s="21"/>
      <c r="E8" s="22"/>
    </row>
    <row r="9" spans="1:5" x14ac:dyDescent="0.4">
      <c r="A9" s="33" t="s">
        <v>260</v>
      </c>
      <c r="B9" s="32"/>
      <c r="C9" s="32"/>
      <c r="D9" s="32" t="s">
        <v>266</v>
      </c>
      <c r="E9" s="34"/>
    </row>
    <row r="10" spans="1:5" ht="30.45" customHeight="1" thickBot="1" x14ac:dyDescent="0.45">
      <c r="A10" s="10" t="str">
        <f>IF(B7="Beginner",Data!B13,IF(B7="Intermediate",Data!C13,IF(B7="Advanced",Data!D13,"No Rating")))</f>
        <v>Limited control; often defensive; inconsistent two-handed or slice.</v>
      </c>
      <c r="B10" s="11"/>
      <c r="C10" s="11"/>
      <c r="D10" s="11" t="str">
        <f>IF(B7="Beginner",Data!C13,IF(B7="Intermediate",Data!D13,"No Rating"))</f>
        <v>Solid two-handed drive; reliable slice; can rally consistently cross-court.</v>
      </c>
      <c r="E10" s="12"/>
    </row>
    <row r="11" spans="1:5" ht="15.55" customHeight="1" thickTop="1" thickBot="1" x14ac:dyDescent="0.45">
      <c r="A11" s="14" t="s">
        <v>272</v>
      </c>
      <c r="B11" s="15" t="s">
        <v>256</v>
      </c>
      <c r="C11" s="15" t="s">
        <v>0</v>
      </c>
      <c r="D11" s="15" t="s">
        <v>1</v>
      </c>
      <c r="E11" s="16" t="s">
        <v>2</v>
      </c>
    </row>
    <row r="12" spans="1:5" ht="30" customHeight="1" thickTop="1" x14ac:dyDescent="0.4">
      <c r="A12" s="13" t="s">
        <v>9</v>
      </c>
      <c r="B12" s="17" t="s">
        <v>257</v>
      </c>
      <c r="C12" s="17" t="s">
        <v>262</v>
      </c>
      <c r="D12" s="25"/>
      <c r="E12" s="26"/>
    </row>
    <row r="13" spans="1:5" ht="44.6" customHeight="1" x14ac:dyDescent="0.4">
      <c r="A13" s="4" t="s">
        <v>3</v>
      </c>
      <c r="B13" s="21"/>
      <c r="C13" s="21"/>
      <c r="D13" s="21"/>
      <c r="E13" s="22"/>
    </row>
    <row r="14" spans="1:5" x14ac:dyDescent="0.4">
      <c r="A14" s="33" t="s">
        <v>260</v>
      </c>
      <c r="B14" s="32"/>
      <c r="C14" s="32"/>
      <c r="D14" s="32" t="s">
        <v>266</v>
      </c>
      <c r="E14" s="34"/>
    </row>
    <row r="15" spans="1:5" ht="27.9" customHeight="1" thickBot="1" x14ac:dyDescent="0.45">
      <c r="A15" s="10" t="str">
        <f>IF(B12="Beginner",Data!B14,IF(B12="Intermediate",Data!C14,IF(B12="Advanced",Data!D14,"No Rating")))</f>
        <v>Basic motion; inconsistent toss; limited power; double faults common.</v>
      </c>
      <c r="B15" s="11"/>
      <c r="C15" s="11"/>
      <c r="D15" s="11" t="str">
        <f>IF(B12="Beginner",Data!C14,IF(B12="Intermediate",Data!D14,"No Rating"))</f>
        <v>Reliable first serve; developing second serve spin; can place to corners.</v>
      </c>
      <c r="E15" s="12"/>
    </row>
    <row r="16" spans="1:5" ht="15.45" thickTop="1" thickBot="1" x14ac:dyDescent="0.45">
      <c r="A16" s="14" t="s">
        <v>272</v>
      </c>
      <c r="B16" s="15" t="s">
        <v>256</v>
      </c>
      <c r="C16" s="15" t="s">
        <v>0</v>
      </c>
      <c r="D16" s="15" t="s">
        <v>1</v>
      </c>
      <c r="E16" s="16" t="s">
        <v>2</v>
      </c>
    </row>
    <row r="17" spans="1:5" ht="30.55" customHeight="1" thickTop="1" x14ac:dyDescent="0.4">
      <c r="A17" s="18" t="s">
        <v>10</v>
      </c>
      <c r="B17" s="19" t="s">
        <v>257</v>
      </c>
      <c r="C17" s="19" t="s">
        <v>262</v>
      </c>
      <c r="D17" s="27"/>
      <c r="E17" s="28"/>
    </row>
    <row r="18" spans="1:5" ht="45.45" customHeight="1" x14ac:dyDescent="0.4">
      <c r="A18" s="4" t="s">
        <v>3</v>
      </c>
      <c r="B18" s="21"/>
      <c r="C18" s="21"/>
      <c r="D18" s="21"/>
      <c r="E18" s="22"/>
    </row>
    <row r="19" spans="1:5" x14ac:dyDescent="0.4">
      <c r="A19" s="33" t="s">
        <v>260</v>
      </c>
      <c r="B19" s="32"/>
      <c r="C19" s="32"/>
      <c r="D19" s="32" t="s">
        <v>266</v>
      </c>
      <c r="E19" s="34"/>
    </row>
    <row r="20" spans="1:5" ht="29.6" customHeight="1" thickBot="1" x14ac:dyDescent="0.45">
      <c r="A20" s="5" t="str">
        <f>IF(B17="Beginner",Data!B15,IF(B17="Intermediate",Data!C15,IF(B17="Advanced",Data!D15,"No Rating")))</f>
        <v>Awkward positioning; inconsistent contact; struggles with timing.</v>
      </c>
      <c r="B20" s="6"/>
      <c r="C20" s="6"/>
      <c r="D20" s="6" t="str">
        <f>IF(B17="Beginner",Data!C15,IF(B17="Intermediate",Data!D15,"No Rating"))</f>
        <v>Competent forehand/backhand volleys; can finish points at net; decent touch.</v>
      </c>
      <c r="E20" s="7"/>
    </row>
    <row r="21" spans="1:5" ht="15.45" thickTop="1" thickBot="1" x14ac:dyDescent="0.45">
      <c r="A21" s="14" t="s">
        <v>272</v>
      </c>
      <c r="B21" s="15" t="s">
        <v>256</v>
      </c>
      <c r="C21" s="15" t="s">
        <v>0</v>
      </c>
      <c r="D21" s="15" t="s">
        <v>1</v>
      </c>
      <c r="E21" s="16" t="s">
        <v>2</v>
      </c>
    </row>
    <row r="22" spans="1:5" ht="29.6" customHeight="1" thickTop="1" x14ac:dyDescent="0.4">
      <c r="A22" s="18" t="s">
        <v>11</v>
      </c>
      <c r="B22" s="19" t="s">
        <v>257</v>
      </c>
      <c r="C22" s="19" t="s">
        <v>262</v>
      </c>
      <c r="D22" s="27"/>
      <c r="E22" s="28"/>
    </row>
    <row r="23" spans="1:5" ht="43.75" customHeight="1" x14ac:dyDescent="0.4">
      <c r="A23" s="4" t="s">
        <v>3</v>
      </c>
      <c r="B23" s="21"/>
      <c r="C23" s="21"/>
      <c r="D23" s="21"/>
      <c r="E23" s="22"/>
    </row>
    <row r="24" spans="1:5" x14ac:dyDescent="0.4">
      <c r="A24" s="33" t="s">
        <v>260</v>
      </c>
      <c r="B24" s="32"/>
      <c r="C24" s="32"/>
      <c r="D24" s="32" t="s">
        <v>266</v>
      </c>
      <c r="E24" s="34"/>
    </row>
    <row r="25" spans="1:5" ht="28.3" customHeight="1" thickBot="1" x14ac:dyDescent="0.45">
      <c r="A25" s="10" t="str">
        <f>IF(B22="Beginner",Data!B16,IF(B22="Intermediate",Data!C16,IF(B22="Advanced",Data!D16,"No Rating")))</f>
        <v>Difficulty judging lobs; inconsistent execution.</v>
      </c>
      <c r="B25" s="11"/>
      <c r="C25" s="11"/>
      <c r="D25" s="11" t="str">
        <f>IF(B22="Beginner",Data!C16,IF(B22="Intermediate",Data!D16,"No Rating"))</f>
        <v>Reliable overheads; can finish points when set up well.</v>
      </c>
      <c r="E25" s="12"/>
    </row>
    <row r="26" spans="1:5" ht="15.45" thickTop="1" thickBot="1" x14ac:dyDescent="0.45">
      <c r="A26" s="14" t="s">
        <v>272</v>
      </c>
      <c r="B26" s="15" t="s">
        <v>256</v>
      </c>
      <c r="C26" s="15" t="s">
        <v>0</v>
      </c>
      <c r="D26" s="15" t="s">
        <v>1</v>
      </c>
      <c r="E26" s="16" t="s">
        <v>2</v>
      </c>
    </row>
    <row r="27" spans="1:5" ht="29.25" customHeight="1" thickTop="1" x14ac:dyDescent="0.4">
      <c r="A27" s="18" t="s">
        <v>12</v>
      </c>
      <c r="B27" s="19" t="s">
        <v>257</v>
      </c>
      <c r="C27" s="19" t="s">
        <v>262</v>
      </c>
      <c r="D27" s="27"/>
      <c r="E27" s="28"/>
    </row>
    <row r="28" spans="1:5" ht="44.25" customHeight="1" x14ac:dyDescent="0.4">
      <c r="A28" s="4" t="s">
        <v>3</v>
      </c>
      <c r="B28" s="21"/>
      <c r="C28" s="21"/>
      <c r="D28" s="21"/>
      <c r="E28" s="22"/>
    </row>
    <row r="29" spans="1:5" x14ac:dyDescent="0.4">
      <c r="A29" s="33" t="s">
        <v>260</v>
      </c>
      <c r="B29" s="32"/>
      <c r="C29" s="32"/>
      <c r="D29" s="32" t="s">
        <v>266</v>
      </c>
      <c r="E29" s="34"/>
    </row>
    <row r="30" spans="1:5" ht="28.3" customHeight="1" thickBot="1" x14ac:dyDescent="0.45">
      <c r="A30" s="5" t="str">
        <f>IF(B27="Beginner",Data!B17,IF(B27="Intermediate",Data!C17,IF(B27="Advanced",Data!D17,"No Rating")))</f>
        <v>Defensive block; struggles with timing; inconsistent depth.</v>
      </c>
      <c r="B30" s="6"/>
      <c r="C30" s="6"/>
      <c r="D30" s="6" t="str">
        <f>IF(B27="Beginner",Data!C17,IF(B27="Intermediate",Data!D17,"No Rating"))</f>
        <v>Solid returns against medium pace; can neutralize first serves; aggressive on second serves.</v>
      </c>
      <c r="E30" s="7"/>
    </row>
    <row r="31" spans="1:5" ht="15.45" thickTop="1" thickBot="1" x14ac:dyDescent="0.45">
      <c r="A31" s="14" t="s">
        <v>272</v>
      </c>
      <c r="B31" s="15" t="s">
        <v>256</v>
      </c>
      <c r="C31" s="15" t="s">
        <v>0</v>
      </c>
      <c r="D31" s="15" t="s">
        <v>1</v>
      </c>
      <c r="E31" s="16" t="s">
        <v>2</v>
      </c>
    </row>
    <row r="32" spans="1:5" ht="29.6" customHeight="1" thickTop="1" x14ac:dyDescent="0.4">
      <c r="A32" s="18" t="s">
        <v>12</v>
      </c>
      <c r="B32" s="19" t="s">
        <v>257</v>
      </c>
      <c r="C32" s="19" t="s">
        <v>262</v>
      </c>
      <c r="D32" s="27"/>
      <c r="E32" s="28"/>
    </row>
    <row r="33" spans="1:5" ht="44.25" customHeight="1" x14ac:dyDescent="0.4">
      <c r="A33" s="4" t="s">
        <v>3</v>
      </c>
      <c r="B33" s="21"/>
      <c r="C33" s="21"/>
      <c r="D33" s="21"/>
      <c r="E33" s="22"/>
    </row>
    <row r="34" spans="1:5" x14ac:dyDescent="0.4">
      <c r="A34" s="33" t="s">
        <v>260</v>
      </c>
      <c r="B34" s="32"/>
      <c r="C34" s="32"/>
      <c r="D34" s="32" t="s">
        <v>266</v>
      </c>
      <c r="E34" s="34"/>
    </row>
    <row r="35" spans="1:5" ht="29.25" customHeight="1" thickBot="1" x14ac:dyDescent="0.45">
      <c r="A35" s="10" t="str">
        <f>IF(B32="Beginner",Data!B18,IF(B32="Intermediate",Data!C18,IF(B32="Advanced",Data!D18,"No Rating")))</f>
        <v>Rarely attempted; inconsistent execution.</v>
      </c>
      <c r="B35" s="11"/>
      <c r="C35" s="11"/>
      <c r="D35" s="11" t="str">
        <f>IF(B32="Beginner",Data!C18,IF(B32="Intermediate",Data!D18,"No Rating"))</f>
        <v>Uses drop shots and lobs occasionally; moderate success.</v>
      </c>
      <c r="E35" s="12"/>
    </row>
    <row r="36" spans="1:5" ht="15" thickTop="1" x14ac:dyDescent="0.4"/>
  </sheetData>
  <mergeCells count="35">
    <mergeCell ref="A35:C35"/>
    <mergeCell ref="D35:E35"/>
    <mergeCell ref="A29:C29"/>
    <mergeCell ref="D29:E29"/>
    <mergeCell ref="A30:C30"/>
    <mergeCell ref="D30:E30"/>
    <mergeCell ref="B33:E33"/>
    <mergeCell ref="A34:C34"/>
    <mergeCell ref="D34:E34"/>
    <mergeCell ref="B23:E23"/>
    <mergeCell ref="A24:C24"/>
    <mergeCell ref="D24:E24"/>
    <mergeCell ref="A25:C25"/>
    <mergeCell ref="D25:E25"/>
    <mergeCell ref="B28:E28"/>
    <mergeCell ref="A15:C15"/>
    <mergeCell ref="D15:E15"/>
    <mergeCell ref="B18:E18"/>
    <mergeCell ref="A19:C19"/>
    <mergeCell ref="D19:E19"/>
    <mergeCell ref="A20:C20"/>
    <mergeCell ref="D20:E20"/>
    <mergeCell ref="A9:C9"/>
    <mergeCell ref="D9:E9"/>
    <mergeCell ref="A10:C10"/>
    <mergeCell ref="D10:E10"/>
    <mergeCell ref="B13:E13"/>
    <mergeCell ref="A14:C14"/>
    <mergeCell ref="D14:E14"/>
    <mergeCell ref="B3:E3"/>
    <mergeCell ref="A4:C4"/>
    <mergeCell ref="D4:E4"/>
    <mergeCell ref="A5:C5"/>
    <mergeCell ref="D5:E5"/>
    <mergeCell ref="B8:E8"/>
  </mergeCells>
  <conditionalFormatting sqref="C2">
    <cfRule type="cellIs" dxfId="34" priority="31" operator="equal">
      <formula>"5 - Mastery"</formula>
    </cfRule>
    <cfRule type="cellIs" dxfId="33" priority="32" operator="equal">
      <formula>"4 - Proficient"</formula>
    </cfRule>
    <cfRule type="cellIs" dxfId="32" priority="33" operator="equal">
      <formula>"3 - Competent"</formula>
    </cfRule>
    <cfRule type="cellIs" dxfId="31" priority="34" operator="equal">
      <formula>"2 - Developing"</formula>
    </cfRule>
    <cfRule type="cellIs" dxfId="30" priority="35" operator="equal">
      <formula>"1 - Basic"</formula>
    </cfRule>
  </conditionalFormatting>
  <conditionalFormatting sqref="C12">
    <cfRule type="cellIs" dxfId="29" priority="26" operator="equal">
      <formula>"5 - Mastery"</formula>
    </cfRule>
    <cfRule type="cellIs" dxfId="28" priority="27" operator="equal">
      <formula>"4 - Proficient"</formula>
    </cfRule>
    <cfRule type="cellIs" dxfId="27" priority="28" operator="equal">
      <formula>"3 - Competent"</formula>
    </cfRule>
    <cfRule type="cellIs" dxfId="26" priority="29" operator="equal">
      <formula>"2 - Developing"</formula>
    </cfRule>
    <cfRule type="cellIs" dxfId="25" priority="30" operator="equal">
      <formula>"1 - Basic"</formula>
    </cfRule>
  </conditionalFormatting>
  <conditionalFormatting sqref="C17">
    <cfRule type="cellIs" dxfId="24" priority="21" operator="equal">
      <formula>"5 - Mastery"</formula>
    </cfRule>
    <cfRule type="cellIs" dxfId="23" priority="22" operator="equal">
      <formula>"4 - Proficient"</formula>
    </cfRule>
    <cfRule type="cellIs" dxfId="22" priority="23" operator="equal">
      <formula>"3 - Competent"</formula>
    </cfRule>
    <cfRule type="cellIs" dxfId="21" priority="24" operator="equal">
      <formula>"2 - Developing"</formula>
    </cfRule>
    <cfRule type="cellIs" dxfId="20" priority="25" operator="equal">
      <formula>"1 - Basic"</formula>
    </cfRule>
  </conditionalFormatting>
  <conditionalFormatting sqref="C7">
    <cfRule type="cellIs" dxfId="19" priority="16" operator="equal">
      <formula>"5 - Mastery"</formula>
    </cfRule>
    <cfRule type="cellIs" dxfId="18" priority="17" operator="equal">
      <formula>"4 - Proficient"</formula>
    </cfRule>
    <cfRule type="cellIs" dxfId="17" priority="18" operator="equal">
      <formula>"3 - Competent"</formula>
    </cfRule>
    <cfRule type="cellIs" dxfId="16" priority="19" operator="equal">
      <formula>"2 - Developing"</formula>
    </cfRule>
    <cfRule type="cellIs" dxfId="15" priority="20" operator="equal">
      <formula>"1 - Basic"</formula>
    </cfRule>
  </conditionalFormatting>
  <conditionalFormatting sqref="C22">
    <cfRule type="cellIs" dxfId="14" priority="11" operator="equal">
      <formula>"5 - Mastery"</formula>
    </cfRule>
    <cfRule type="cellIs" dxfId="13" priority="12" operator="equal">
      <formula>"4 - Proficient"</formula>
    </cfRule>
    <cfRule type="cellIs" dxfId="12" priority="13" operator="equal">
      <formula>"3 - Competent"</formula>
    </cfRule>
    <cfRule type="cellIs" dxfId="11" priority="14" operator="equal">
      <formula>"2 - Developing"</formula>
    </cfRule>
    <cfRule type="cellIs" dxfId="10" priority="15" operator="equal">
      <formula>"1 - Basic"</formula>
    </cfRule>
  </conditionalFormatting>
  <conditionalFormatting sqref="C27">
    <cfRule type="cellIs" dxfId="9" priority="6" operator="equal">
      <formula>"5 - Mastery"</formula>
    </cfRule>
    <cfRule type="cellIs" dxfId="8" priority="7" operator="equal">
      <formula>"4 - Proficient"</formula>
    </cfRule>
    <cfRule type="cellIs" dxfId="7" priority="8" operator="equal">
      <formula>"3 - Competent"</formula>
    </cfRule>
    <cfRule type="cellIs" dxfId="6" priority="9" operator="equal">
      <formula>"2 - Developing"</formula>
    </cfRule>
    <cfRule type="cellIs" dxfId="5" priority="10" operator="equal">
      <formula>"1 - Basic"</formula>
    </cfRule>
  </conditionalFormatting>
  <conditionalFormatting sqref="C32">
    <cfRule type="cellIs" dxfId="4" priority="1" operator="equal">
      <formula>"5 - Mastery"</formula>
    </cfRule>
    <cfRule type="cellIs" dxfId="3" priority="2" operator="equal">
      <formula>"4 - Proficient"</formula>
    </cfRule>
    <cfRule type="cellIs" dxfId="2" priority="3" operator="equal">
      <formula>"3 - Competent"</formula>
    </cfRule>
    <cfRule type="cellIs" dxfId="1" priority="4" operator="equal">
      <formula>"2 - Developing"</formula>
    </cfRule>
    <cfRule type="cellIs" dxfId="0" priority="5" operator="equal">
      <formula>"1 - Basic"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4991615-235B-4F27-BCA0-E896926B5FC9}">
          <x14:formula1>
            <xm:f>Data!$A$2:$A$6</xm:f>
          </x14:formula1>
          <xm:sqref>C27 C2 C17 C7 C12 C22 C32</xm:sqref>
        </x14:dataValidation>
        <x14:dataValidation type="list" allowBlank="1" showInputMessage="1" showErrorMessage="1" xr:uid="{04312E57-0C07-4E32-BF73-EABD2C17D15D}">
          <x14:formula1>
            <xm:f>Data!$D$2:$D$4</xm:f>
          </x14:formula1>
          <xm:sqref>B27 B2 B17 B7 B12 B22 B32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Player Summary</vt:lpstr>
      <vt:lpstr>Technical Skills</vt:lpstr>
      <vt:lpstr>Serve &amp; Return</vt:lpstr>
      <vt:lpstr>Footwork &amp; Movement</vt:lpstr>
      <vt:lpstr>Tactical Awareness</vt:lpstr>
      <vt:lpstr>Creativity &amp; Variety</vt:lpstr>
      <vt:lpstr>Match Strategy</vt:lpstr>
      <vt:lpstr>Competitive Experience</vt:lpstr>
      <vt:lpstr>Physical Fitness</vt:lpstr>
      <vt:lpstr>Mental Toughness</vt:lpstr>
      <vt:lpstr>Recovery &amp; Injury Prevention</vt:lpstr>
      <vt:lpstr>Communication &amp; Self-Reflection</vt:lpstr>
      <vt:lpstr>Lifestyle &amp; Discipline</vt:lpstr>
      <vt:lpstr>Data</vt:lpstr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Stewart Gibbs</cp:lastModifiedBy>
  <cp:lastPrinted>2025-12-19T07:43:05Z</cp:lastPrinted>
  <dcterms:created xsi:type="dcterms:W3CDTF">2025-12-19T03:44:08Z</dcterms:created>
  <dcterms:modified xsi:type="dcterms:W3CDTF">2025-12-19T08:15:16Z</dcterms:modified>
</cp:coreProperties>
</file>